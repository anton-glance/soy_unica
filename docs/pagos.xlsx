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3168b3f2c497b8/Escritorio/2026/"/>
    </mc:Choice>
  </mc:AlternateContent>
  <xr:revisionPtr revIDLastSave="102" documentId="13_ncr:1_{D2607B25-A6E0-4019-A0B4-374ABC46C74D}" xr6:coauthVersionLast="47" xr6:coauthVersionMax="47" xr10:uidLastSave="{0195CA19-AE7E-4831-89EC-B9C77319408E}"/>
  <bookViews>
    <workbookView xWindow="-120" yWindow="-120" windowWidth="20730" windowHeight="11040" tabRatio="606" firstSheet="102" activeTab="105" xr2:uid="{00000000-000D-0000-FFFF-FFFF00000000}"/>
  </bookViews>
  <sheets>
    <sheet name="enero" sheetId="3" r:id="rId1"/>
    <sheet name="febrero" sheetId="1" r:id="rId2"/>
    <sheet name="marzo" sheetId="2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" sheetId="9" r:id="rId9"/>
    <sheet name="oct" sheetId="10" r:id="rId10"/>
    <sheet name="nov" sheetId="12" r:id="rId11"/>
    <sheet name="dic" sheetId="13" r:id="rId12"/>
    <sheet name="enero 19" sheetId="14" r:id="rId13"/>
    <sheet name="febrero19" sheetId="15" r:id="rId14"/>
    <sheet name="marzo 19" sheetId="16" r:id="rId15"/>
    <sheet name="abril 19" sheetId="17" r:id="rId16"/>
    <sheet name="mayo 19" sheetId="18" r:id="rId17"/>
    <sheet name="julio 19" sheetId="20" r:id="rId18"/>
    <sheet name="junio 19" sheetId="19" r:id="rId19"/>
    <sheet name="agosto 19" sheetId="21" r:id="rId20"/>
    <sheet name="sep 19" sheetId="22" r:id="rId21"/>
    <sheet name="oct 19" sheetId="23" r:id="rId22"/>
    <sheet name="NOV 19" sheetId="25" r:id="rId23"/>
    <sheet name="dic19" sheetId="27" r:id="rId24"/>
    <sheet name="enero 20" sheetId="28" r:id="rId25"/>
    <sheet name="feb 20" sheetId="29" r:id="rId26"/>
    <sheet name="marzo 20" sheetId="30" r:id="rId27"/>
    <sheet name="abril 20" sheetId="31" r:id="rId28"/>
    <sheet name="mayo 20" sheetId="33" r:id="rId29"/>
    <sheet name="junio20" sheetId="34" r:id="rId30"/>
    <sheet name="julio20" sheetId="35" r:id="rId31"/>
    <sheet name="ago 20" sheetId="37" r:id="rId32"/>
    <sheet name="sep20" sheetId="38" r:id="rId33"/>
    <sheet name="oct20" sheetId="39" r:id="rId34"/>
    <sheet name="nov20" sheetId="40" r:id="rId35"/>
    <sheet name="dic 20" sheetId="41" r:id="rId36"/>
    <sheet name="enero 21" sheetId="42" r:id="rId37"/>
    <sheet name="feb 21" sheetId="44" r:id="rId38"/>
    <sheet name="abril21" sheetId="46" r:id="rId39"/>
    <sheet name="Hoja1" sheetId="67" r:id="rId40"/>
    <sheet name="marzo21" sheetId="45" r:id="rId41"/>
    <sheet name="may 21" sheetId="47" r:id="rId42"/>
    <sheet name="junio 21" sheetId="48" r:id="rId43"/>
    <sheet name="Hoja2" sheetId="68" r:id="rId44"/>
    <sheet name="julio 21" sheetId="50" r:id="rId45"/>
    <sheet name="ago 21" sheetId="52" r:id="rId46"/>
    <sheet name="sep21" sheetId="53" r:id="rId47"/>
    <sheet name="oct 21" sheetId="54" r:id="rId48"/>
    <sheet name="nov 2021" sheetId="55" r:id="rId49"/>
    <sheet name="dic 2021" sheetId="56" r:id="rId50"/>
    <sheet name="Hoja4" sheetId="82" r:id="rId51"/>
    <sheet name="enero 22" sheetId="57" r:id="rId52"/>
    <sheet name="Hoja3" sheetId="79" r:id="rId53"/>
    <sheet name="feb 22" sheetId="58" r:id="rId54"/>
    <sheet name="marzo 22" sheetId="59" r:id="rId55"/>
    <sheet name="abril22" sheetId="60" r:id="rId56"/>
    <sheet name="Hoja5" sheetId="83" r:id="rId57"/>
    <sheet name="may 22" sheetId="61" r:id="rId58"/>
    <sheet name="jun 22" sheetId="62" r:id="rId59"/>
    <sheet name="julio 22" sheetId="63" r:id="rId60"/>
    <sheet name="agosto 2022" sheetId="64" r:id="rId61"/>
    <sheet name="sept 2022" sheetId="65" r:id="rId62"/>
    <sheet name="Octubre 2022" sheetId="66" r:id="rId63"/>
    <sheet name="Noviembre 22" sheetId="69" r:id="rId64"/>
    <sheet name="Diciembre 22" sheetId="70" r:id="rId65"/>
    <sheet name="Enero 23" sheetId="71" r:id="rId66"/>
    <sheet name="Febrero23" sheetId="72" r:id="rId67"/>
    <sheet name="Marzo 23" sheetId="73" r:id="rId68"/>
    <sheet name="Abril 23" sheetId="75" r:id="rId69"/>
    <sheet name="Mayo 23" sheetId="76" r:id="rId70"/>
    <sheet name="Junio 23" sheetId="77" r:id="rId71"/>
    <sheet name="Agosto 23" sheetId="80" r:id="rId72"/>
    <sheet name="julio 23" sheetId="78" r:id="rId73"/>
    <sheet name="sept 23" sheetId="81" r:id="rId74"/>
    <sheet name="nov23" sheetId="85" r:id="rId75"/>
    <sheet name="Oct 23" sheetId="84" r:id="rId76"/>
    <sheet name="dic 23" sheetId="86" r:id="rId77"/>
    <sheet name="enero 24" sheetId="87" r:id="rId78"/>
    <sheet name="feb24" sheetId="88" r:id="rId79"/>
    <sheet name="marzo 24" sheetId="89" r:id="rId80"/>
    <sheet name="abril 24" sheetId="90" r:id="rId81"/>
    <sheet name="mayo 24" sheetId="91" r:id="rId82"/>
    <sheet name="jun 24" sheetId="92" r:id="rId83"/>
    <sheet name="julio 24" sheetId="93" r:id="rId84"/>
    <sheet name="ago 24" sheetId="94" r:id="rId85"/>
    <sheet name="sep 24" sheetId="95" r:id="rId86"/>
    <sheet name="oct 24" sheetId="96" r:id="rId87"/>
    <sheet name="dic 24" sheetId="98" r:id="rId88"/>
    <sheet name="enero 25" sheetId="99" r:id="rId89"/>
    <sheet name="marzo 25" sheetId="102" r:id="rId90"/>
    <sheet name="nov 24" sheetId="97" r:id="rId91"/>
    <sheet name="feb 25" sheetId="100" r:id="rId92"/>
    <sheet name="abril 25" sheetId="103" r:id="rId93"/>
    <sheet name="mayo 25" sheetId="104" r:id="rId94"/>
    <sheet name="jun 25" sheetId="105" r:id="rId95"/>
    <sheet name="jul 25" sheetId="106" r:id="rId96"/>
    <sheet name="ago 25" sheetId="107" r:id="rId97"/>
    <sheet name="sep 25" sheetId="108" r:id="rId98"/>
    <sheet name="oct25" sheetId="110" r:id="rId99"/>
    <sheet name="Hoja6" sheetId="126" r:id="rId100"/>
    <sheet name="nov 25" sheetId="111" r:id="rId101"/>
    <sheet name="dic 25" sheetId="112" r:id="rId102"/>
    <sheet name="ene 26" sheetId="113" r:id="rId103"/>
    <sheet name="marzo 26" sheetId="115" r:id="rId104"/>
    <sheet name="feb 26" sheetId="114" r:id="rId105"/>
    <sheet name="6 mayo 26" sheetId="117" r:id="rId106"/>
    <sheet name="abril 26" sheetId="116" r:id="rId107"/>
    <sheet name="junio 26" sheetId="121" r:id="rId108"/>
    <sheet name="jul26" sheetId="122" r:id="rId109"/>
    <sheet name="ago 26" sheetId="124" r:id="rId110"/>
    <sheet name="Hoja7" sheetId="125" r:id="rId111"/>
  </sheets>
  <definedNames>
    <definedName name="_xlnm._FilterDatabase" localSheetId="107" hidden="1">'junio 26'!$J$1:$R$1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97" l="1"/>
  <c r="B82" i="73" a="1"/>
  <c r="B82" i="73" s="1"/>
  <c r="C82" i="73"/>
  <c r="A40" i="28"/>
</calcChain>
</file>

<file path=xl/sharedStrings.xml><?xml version="1.0" encoding="utf-8"?>
<sst xmlns="http://schemas.openxmlformats.org/spreadsheetml/2006/main" count="7093" uniqueCount="5497">
  <si>
    <t>nombre</t>
  </si>
  <si>
    <t xml:space="preserve">fecha de boda </t>
  </si>
  <si>
    <t>medidad</t>
  </si>
  <si>
    <t>vestido</t>
  </si>
  <si>
    <t>liquidado</t>
  </si>
  <si>
    <t xml:space="preserve">1 pago fech </t>
  </si>
  <si>
    <t>2 pago fecha</t>
  </si>
  <si>
    <t>3 pago fecha</t>
  </si>
  <si>
    <t>2 de febrero</t>
  </si>
  <si>
    <t>fecha</t>
  </si>
  <si>
    <t>s7</t>
  </si>
  <si>
    <t>11 de mayo</t>
  </si>
  <si>
    <t>cecilia Vazquez</t>
  </si>
  <si>
    <t>katia acosta</t>
  </si>
  <si>
    <t>s10</t>
  </si>
  <si>
    <t>elva rodrigez</t>
  </si>
  <si>
    <t>s9</t>
  </si>
  <si>
    <t>cancelo</t>
  </si>
  <si>
    <t>6 de febrero</t>
  </si>
  <si>
    <t>monica raque</t>
  </si>
  <si>
    <t>p4</t>
  </si>
  <si>
    <t>10de febrero</t>
  </si>
  <si>
    <t>isela gonzalez</t>
  </si>
  <si>
    <t>p12|</t>
  </si>
  <si>
    <t>10 de febrero</t>
  </si>
  <si>
    <t>neidyn pinuelas</t>
  </si>
  <si>
    <t>p7</t>
  </si>
  <si>
    <t>2000  12-02 depos</t>
  </si>
  <si>
    <t>13 de febrero</t>
  </si>
  <si>
    <t>lourdes hermandez</t>
  </si>
  <si>
    <t>2 de junio</t>
  </si>
  <si>
    <t>a7</t>
  </si>
  <si>
    <t>17 de febrerp</t>
  </si>
  <si>
    <t>isamar</t>
  </si>
  <si>
    <t>19 de febrero</t>
  </si>
  <si>
    <t>volan</t>
  </si>
  <si>
    <t>24 de febrero</t>
  </si>
  <si>
    <t>diana</t>
  </si>
  <si>
    <t>volan liqudacion</t>
  </si>
  <si>
    <t>adriana</t>
  </si>
  <si>
    <t>lizeth</t>
  </si>
  <si>
    <t>p2</t>
  </si>
  <si>
    <t>27 de febrero</t>
  </si>
  <si>
    <t>dalia cuzman</t>
  </si>
  <si>
    <t>p10</t>
  </si>
  <si>
    <t>3 de marzo</t>
  </si>
  <si>
    <t>ana margarita</t>
  </si>
  <si>
    <t>a10</t>
  </si>
  <si>
    <t>1000 3-03</t>
  </si>
  <si>
    <t>2000   3 03</t>
  </si>
  <si>
    <t>2040 5 de marzo</t>
  </si>
  <si>
    <t>5 de marzo</t>
  </si>
  <si>
    <t>a3</t>
  </si>
  <si>
    <t>5 de mayo</t>
  </si>
  <si>
    <t>12 de mayo</t>
  </si>
  <si>
    <t>a 5</t>
  </si>
  <si>
    <t>18 de enero</t>
  </si>
  <si>
    <t>alejandra</t>
  </si>
  <si>
    <t>27 de enert</t>
  </si>
  <si>
    <t>p13</t>
  </si>
  <si>
    <t>liqudado</t>
  </si>
  <si>
    <t>27 de enero</t>
  </si>
  <si>
    <t>karla lilia</t>
  </si>
  <si>
    <t>11 de agosto</t>
  </si>
  <si>
    <t>p1</t>
  </si>
  <si>
    <t>1000 22-02</t>
  </si>
  <si>
    <t>1630  9-03</t>
  </si>
  <si>
    <t>500 9-03</t>
  </si>
  <si>
    <t>liqudacion</t>
  </si>
  <si>
    <t>17 de marzo</t>
  </si>
  <si>
    <t>azeneth cardoba</t>
  </si>
  <si>
    <t>junio</t>
  </si>
  <si>
    <t>p12</t>
  </si>
  <si>
    <t>daniela alejandra</t>
  </si>
  <si>
    <t>s11</t>
  </si>
  <si>
    <t>23 de marzo</t>
  </si>
  <si>
    <t>adriana villarel</t>
  </si>
  <si>
    <t>jasmin pena</t>
  </si>
  <si>
    <t>24 de marzo</t>
  </si>
  <si>
    <t>dulce sanches</t>
  </si>
  <si>
    <t>noviembre</t>
  </si>
  <si>
    <t>500 24-03</t>
  </si>
  <si>
    <t>1000 27.03</t>
  </si>
  <si>
    <t>emili</t>
  </si>
  <si>
    <t>A7</t>
  </si>
  <si>
    <t>Aklejandra</t>
  </si>
  <si>
    <t>7 de abr</t>
  </si>
  <si>
    <t>dulce</t>
  </si>
  <si>
    <t>14 de abril</t>
  </si>
  <si>
    <t>irma guadeluope</t>
  </si>
  <si>
    <t>21 de abtil</t>
  </si>
  <si>
    <t xml:space="preserve">Mariana </t>
  </si>
  <si>
    <t>P15</t>
  </si>
  <si>
    <t>28 de abril</t>
  </si>
  <si>
    <t>maria mirlena</t>
  </si>
  <si>
    <t>agosto</t>
  </si>
  <si>
    <t>p15</t>
  </si>
  <si>
    <t>marisol carranza</t>
  </si>
  <si>
    <t>p9</t>
  </si>
  <si>
    <t>yanet perez</t>
  </si>
  <si>
    <t>p16</t>
  </si>
  <si>
    <t xml:space="preserve">yaquelin </t>
  </si>
  <si>
    <t>14 de mayo</t>
  </si>
  <si>
    <t>silivia rodrigez</t>
  </si>
  <si>
    <t>s6</t>
  </si>
  <si>
    <t>16 de mayo</t>
  </si>
  <si>
    <t>merary</t>
  </si>
  <si>
    <t>2000   16-052018</t>
  </si>
  <si>
    <t>mayra teresa</t>
  </si>
  <si>
    <t>s5</t>
  </si>
  <si>
    <t>s14</t>
  </si>
  <si>
    <t xml:space="preserve"> </t>
  </si>
  <si>
    <t>изобрения для дома</t>
  </si>
  <si>
    <t>liquidacion</t>
  </si>
  <si>
    <t>28 de mayo</t>
  </si>
  <si>
    <t>heidi gpe mara|</t>
  </si>
  <si>
    <t>sirena con  mono</t>
  </si>
  <si>
    <t>Maira</t>
  </si>
  <si>
    <t>noeme rangel</t>
  </si>
  <si>
    <t>Isabel de la garza</t>
  </si>
  <si>
    <t>s13</t>
  </si>
  <si>
    <t>Paulina</t>
  </si>
  <si>
    <t>31 de marzo</t>
  </si>
  <si>
    <t>yana lizet</t>
  </si>
  <si>
    <t>11 de junio</t>
  </si>
  <si>
    <t>Samamnta gomez</t>
  </si>
  <si>
    <t>Olga Stefeni</t>
  </si>
  <si>
    <t>Harim</t>
  </si>
  <si>
    <t>canselado</t>
  </si>
  <si>
    <t>21/60/2018</t>
  </si>
  <si>
    <t>dora gpe</t>
  </si>
  <si>
    <t>cirena con cinta</t>
  </si>
  <si>
    <t>9 de mayo</t>
  </si>
  <si>
    <t>23 de junio</t>
  </si>
  <si>
    <t xml:space="preserve">30 de junio </t>
  </si>
  <si>
    <t>liliana rdz</t>
  </si>
  <si>
    <t>monica palacio</t>
  </si>
  <si>
    <t>color perla</t>
  </si>
  <si>
    <t>lluvia andrea</t>
  </si>
  <si>
    <t>a 11</t>
  </si>
  <si>
    <t>marian gutierrez</t>
  </si>
  <si>
    <t>allison rubio</t>
  </si>
  <si>
    <t>p13 ivory</t>
  </si>
  <si>
    <t>azeneth espinoza</t>
  </si>
  <si>
    <t>Aide dominguez</t>
  </si>
  <si>
    <t>sandy verber</t>
  </si>
  <si>
    <t>p1 ivory</t>
  </si>
  <si>
    <t>mariana witron</t>
  </si>
  <si>
    <t>irma vazquez</t>
  </si>
  <si>
    <t>zaira camarillo</t>
  </si>
  <si>
    <t xml:space="preserve"> edith alvarez</t>
  </si>
  <si>
    <t>diana arellano</t>
  </si>
  <si>
    <t xml:space="preserve">p16 ivory </t>
  </si>
  <si>
    <t>laura garza</t>
  </si>
  <si>
    <t>p18 ivory</t>
  </si>
  <si>
    <t xml:space="preserve">paz escobar </t>
  </si>
  <si>
    <t>s4</t>
  </si>
  <si>
    <t>karen calderas</t>
  </si>
  <si>
    <t>p12 ivory</t>
  </si>
  <si>
    <t>judith berenice martinez</t>
  </si>
  <si>
    <t>keila torres garcia</t>
  </si>
  <si>
    <t>viridiana perez</t>
  </si>
  <si>
    <t>6350 mas 200</t>
  </si>
  <si>
    <t>lilia elizabeth</t>
  </si>
  <si>
    <t>evelyn salazar</t>
  </si>
  <si>
    <t>p11</t>
  </si>
  <si>
    <t xml:space="preserve">karen lopez </t>
  </si>
  <si>
    <t>p19</t>
  </si>
  <si>
    <t>ana patricia mendez</t>
  </si>
  <si>
    <t>guadelupe tello</t>
  </si>
  <si>
    <t>A9 renta</t>
  </si>
  <si>
    <t>mariela delgado</t>
  </si>
  <si>
    <t>s11 ivory</t>
  </si>
  <si>
    <t>p12 champagne</t>
  </si>
  <si>
    <t>karen galicia</t>
  </si>
  <si>
    <t>s1 ivory</t>
  </si>
  <si>
    <t>martha celestino</t>
  </si>
  <si>
    <t>martha patricia vicente</t>
  </si>
  <si>
    <t>denis canizales</t>
  </si>
  <si>
    <t xml:space="preserve">Nancy vanessa </t>
  </si>
  <si>
    <t>p7 renta</t>
  </si>
  <si>
    <t>daniela</t>
  </si>
  <si>
    <t xml:space="preserve">silvia viviana </t>
  </si>
  <si>
    <t>16 de junio</t>
  </si>
  <si>
    <t>p23</t>
  </si>
  <si>
    <t>cacelado</t>
  </si>
  <si>
    <t>p15 renta</t>
  </si>
  <si>
    <t>marlen guerrero</t>
  </si>
  <si>
    <t>brenda casas</t>
  </si>
  <si>
    <t>anahi vazquez</t>
  </si>
  <si>
    <t>s4 ivory</t>
  </si>
  <si>
    <t>2000 29  enero</t>
  </si>
  <si>
    <t>2500 4 oct</t>
  </si>
  <si>
    <t>total de 13 050</t>
  </si>
  <si>
    <t>1500 17 de febrero</t>
  </si>
  <si>
    <t>delfina</t>
  </si>
  <si>
    <t>laura nelly espiricueta</t>
  </si>
  <si>
    <t>a12</t>
  </si>
  <si>
    <t>aracely sotelo</t>
  </si>
  <si>
    <t>p20</t>
  </si>
  <si>
    <t>jimena torres</t>
  </si>
  <si>
    <t>S5 blanco</t>
  </si>
  <si>
    <t>jenifer gonzalez</t>
  </si>
  <si>
    <t>gabriela cardona</t>
  </si>
  <si>
    <t>liliana rodriguez</t>
  </si>
  <si>
    <t>tania alejandra</t>
  </si>
  <si>
    <t>medidadas</t>
  </si>
  <si>
    <t>melisa reyna</t>
  </si>
  <si>
    <t>A11</t>
  </si>
  <si>
    <t>nizandra sanchez</t>
  </si>
  <si>
    <t>karla monica gomez</t>
  </si>
  <si>
    <t>s5 renta</t>
  </si>
  <si>
    <t>chantal vazquez</t>
  </si>
  <si>
    <t>lidia garcia</t>
  </si>
  <si>
    <t>rosa isela perez</t>
  </si>
  <si>
    <t>a2 renta</t>
  </si>
  <si>
    <t>fabiola alejandra pecina</t>
  </si>
  <si>
    <t>p18</t>
  </si>
  <si>
    <t>1000 clip</t>
  </si>
  <si>
    <t>devany gomez</t>
  </si>
  <si>
    <t>isabel estrada</t>
  </si>
  <si>
    <t>mt</t>
  </si>
  <si>
    <t>jamin cardenas</t>
  </si>
  <si>
    <t>p21</t>
  </si>
  <si>
    <t>jazmin cardenas</t>
  </si>
  <si>
    <t>maria hernandez</t>
  </si>
  <si>
    <t>A 11 blanco mostrador</t>
  </si>
  <si>
    <t>liliana estrada</t>
  </si>
  <si>
    <t>silvia estrada</t>
  </si>
  <si>
    <t>octubre</t>
  </si>
  <si>
    <t>2340 clip</t>
  </si>
  <si>
    <t>3780 clip</t>
  </si>
  <si>
    <t>1000 dep</t>
  </si>
  <si>
    <t>800 dep</t>
  </si>
  <si>
    <t>isabel hernandez</t>
  </si>
  <si>
    <t>karina rodriguez</t>
  </si>
  <si>
    <t>fabiola rocha</t>
  </si>
  <si>
    <t>{</t>
  </si>
  <si>
    <t>p1 ivory cinto 006</t>
  </si>
  <si>
    <t>liliana berenice guerrero</t>
  </si>
  <si>
    <t>p15 mantilla y tocado</t>
  </si>
  <si>
    <t>vestido 9500</t>
  </si>
  <si>
    <t>mantilla 2100</t>
  </si>
  <si>
    <t>corta 900</t>
  </si>
  <si>
    <t>cinto 550</t>
  </si>
  <si>
    <t>mangas 500</t>
  </si>
  <si>
    <t>extra de mangas 121</t>
  </si>
  <si>
    <t xml:space="preserve">menos 10000 </t>
  </si>
  <si>
    <t>faltan 3671</t>
  </si>
  <si>
    <t>total 13671</t>
  </si>
  <si>
    <t>P21</t>
  </si>
  <si>
    <t>13 abrl</t>
  </si>
  <si>
    <t>P15renta</t>
  </si>
  <si>
    <t>A2</t>
  </si>
  <si>
    <t>cancelado</t>
  </si>
  <si>
    <t>devolucion</t>
  </si>
  <si>
    <t>janeth medina</t>
  </si>
  <si>
    <t>isela moreno</t>
  </si>
  <si>
    <t>yahaira cazares</t>
  </si>
  <si>
    <t>p 21</t>
  </si>
  <si>
    <t>ruth esmerada</t>
  </si>
  <si>
    <t>cinthia carolina</t>
  </si>
  <si>
    <t>p9 renta</t>
  </si>
  <si>
    <t xml:space="preserve">brenda reyna </t>
  </si>
  <si>
    <t>sugey aguillon</t>
  </si>
  <si>
    <t>p25</t>
  </si>
  <si>
    <t>evelia guillen</t>
  </si>
  <si>
    <t>brenda lizbeth</t>
  </si>
  <si>
    <t>leonila santiago</t>
  </si>
  <si>
    <t xml:space="preserve">p25 mas velo liso m3 tocado oo0 cinto 006 </t>
  </si>
  <si>
    <t>total</t>
  </si>
  <si>
    <t>telefono</t>
  </si>
  <si>
    <t>3o marzo</t>
  </si>
  <si>
    <t>paola vazque</t>
  </si>
  <si>
    <t>p26 ivory</t>
  </si>
  <si>
    <t>karen leal</t>
  </si>
  <si>
    <t>sarahi hernandez</t>
  </si>
  <si>
    <t>22 de junio</t>
  </si>
  <si>
    <t>jenny soberano</t>
  </si>
  <si>
    <t>a10 rentay cinto aretes</t>
  </si>
  <si>
    <t>renta p17</t>
  </si>
  <si>
    <t>princesa liq mantilla 019</t>
  </si>
  <si>
    <t>aracely cardenas</t>
  </si>
  <si>
    <t>rosalinda</t>
  </si>
  <si>
    <t>faltan 40 pesos mas porta</t>
  </si>
  <si>
    <t>NDAS</t>
  </si>
  <si>
    <t>SE TRASPASO VESTIDO A DIANA SEGOVIANO SIRENA CON MOÑO</t>
  </si>
  <si>
    <t>sandra liliana</t>
  </si>
  <si>
    <t xml:space="preserve">p25 tiara 012mantilla 003 liga </t>
  </si>
  <si>
    <t>yaresy balandrano</t>
  </si>
  <si>
    <t>tania juarez</t>
  </si>
  <si>
    <t>3200 clip</t>
  </si>
  <si>
    <t>dayra rocha</t>
  </si>
  <si>
    <t>p26 y mantilla 5 m</t>
  </si>
  <si>
    <t>ENTREGADO</t>
  </si>
  <si>
    <t>P16 ivory 3/4</t>
  </si>
  <si>
    <t>cinthia campos</t>
  </si>
  <si>
    <t>fatima manuath</t>
  </si>
  <si>
    <t>14 de junio</t>
  </si>
  <si>
    <t>sirena seda</t>
  </si>
  <si>
    <t>evelyn griselda</t>
  </si>
  <si>
    <t>evelyn yesenia mendoza</t>
  </si>
  <si>
    <t xml:space="preserve">p1 </t>
  </si>
  <si>
    <t xml:space="preserve">sandra cardenas </t>
  </si>
  <si>
    <t>14 de mayo 19</t>
  </si>
  <si>
    <t>A 8 blanco renta</t>
  </si>
  <si>
    <t>3100 mas 2 mil dep</t>
  </si>
  <si>
    <t xml:space="preserve">raiza darlene martinez </t>
  </si>
  <si>
    <t>p20 (mostrador)mas mantilla 009</t>
  </si>
  <si>
    <t>gloria santes</t>
  </si>
  <si>
    <t>3 may019</t>
  </si>
  <si>
    <t>adelaida camarillo</t>
  </si>
  <si>
    <t>p26 con brillos incluye mantilla corta y tocado</t>
  </si>
  <si>
    <t>mantilla 019, tocado 023,tiara 012</t>
  </si>
  <si>
    <t>esther morales</t>
  </si>
  <si>
    <t>A2 renta y tocado 003</t>
  </si>
  <si>
    <t>geraldine alonso</t>
  </si>
  <si>
    <t>s2 cinto y tocado 022</t>
  </si>
  <si>
    <t>p 24ivory</t>
  </si>
  <si>
    <t>a12 ivory</t>
  </si>
  <si>
    <t>sirena seda mostrador</t>
  </si>
  <si>
    <t>p13 mas porta</t>
  </si>
  <si>
    <t>soraida hernandez</t>
  </si>
  <si>
    <t>p19 mantilla 019 cinto 004</t>
  </si>
  <si>
    <t>yulian montalvo</t>
  </si>
  <si>
    <t>wendy rico</t>
  </si>
  <si>
    <t>A14</t>
  </si>
  <si>
    <t>s7 mas porta</t>
  </si>
  <si>
    <t>gricelda santoy</t>
  </si>
  <si>
    <t>p29 mostrador cinto 003 y mantilla 004</t>
  </si>
  <si>
    <t>maritza diaz</t>
  </si>
  <si>
    <t>p21 mostrador</t>
  </si>
  <si>
    <t xml:space="preserve">s9 ivory </t>
  </si>
  <si>
    <t>ana munoz</t>
  </si>
  <si>
    <t>lucy esmeralda</t>
  </si>
  <si>
    <t>nohemi rodriguez</t>
  </si>
  <si>
    <t>A5 renta</t>
  </si>
  <si>
    <t>paola isabel</t>
  </si>
  <si>
    <t>aleida ramirez</t>
  </si>
  <si>
    <t>carla navarrete</t>
  </si>
  <si>
    <t>olga rangel</t>
  </si>
  <si>
    <t>p18 blanco</t>
  </si>
  <si>
    <t>alma maldonado</t>
  </si>
  <si>
    <t xml:space="preserve">s17 </t>
  </si>
  <si>
    <t>paola  cristal rocha</t>
  </si>
  <si>
    <t>juani sifuentes</t>
  </si>
  <si>
    <t>p24 ivory</t>
  </si>
  <si>
    <t>tania garcia</t>
  </si>
  <si>
    <t>s7 mantilla 003</t>
  </si>
  <si>
    <t>teresa xochihua</t>
  </si>
  <si>
    <t>laura michel</t>
  </si>
  <si>
    <t>s17  blanco</t>
  </si>
  <si>
    <t>p21  mascinto 006 incluye mantilla corta y rocado</t>
  </si>
  <si>
    <t>p16 mostrador , cinto 006 tiara 012</t>
  </si>
  <si>
    <t>aneida salazar</t>
  </si>
  <si>
    <t>jazmin morales</t>
  </si>
  <si>
    <t>karen sustaita</t>
  </si>
  <si>
    <t>A12</t>
  </si>
  <si>
    <t>yessy estrada</t>
  </si>
  <si>
    <t>laura karina</t>
  </si>
  <si>
    <t>pagar en 6 pagos</t>
  </si>
  <si>
    <t>p con brillos mostrador, mantilla 015 y capa</t>
  </si>
  <si>
    <t>p9 renta 1 mantilla 5 m, 1 tocado 011</t>
  </si>
  <si>
    <t>p3 renta</t>
  </si>
  <si>
    <t>betzabe corona</t>
  </si>
  <si>
    <t>nelida segovia sotelo</t>
  </si>
  <si>
    <t>itzel b. lucas</t>
  </si>
  <si>
    <t>p28 mostrador , tiara 003, cinto 006 liga blanca</t>
  </si>
  <si>
    <t>alma garza</t>
  </si>
  <si>
    <t>p21 mantilla 019 cinto 006</t>
  </si>
  <si>
    <t>alba castro</t>
  </si>
  <si>
    <t xml:space="preserve">p28 , Velo 018, tocado 023 </t>
  </si>
  <si>
    <t>idalia maricela urdiales</t>
  </si>
  <si>
    <t>s5 blanco renta, cinto 006</t>
  </si>
  <si>
    <t>sirena mostrador,liga flor rosa ,cinto 006</t>
  </si>
  <si>
    <t>gloricel morales</t>
  </si>
  <si>
    <t>sl6 tranformador</t>
  </si>
  <si>
    <t>lucia medina</t>
  </si>
  <si>
    <t>s16 transformador</t>
  </si>
  <si>
    <t xml:space="preserve">joana elizabeth escobedo </t>
  </si>
  <si>
    <t>pagar en 5 pagos</t>
  </si>
  <si>
    <t>miriam fuentes</t>
  </si>
  <si>
    <t>luisa coronado</t>
  </si>
  <si>
    <t>p23 mas mantilla 004</t>
  </si>
  <si>
    <t>zulem granados</t>
  </si>
  <si>
    <t>A12 mantilla 014</t>
  </si>
  <si>
    <t>deizy gonzalez</t>
  </si>
  <si>
    <t>eli garcia</t>
  </si>
  <si>
    <t>p27 mostrador</t>
  </si>
  <si>
    <t>erika karina</t>
  </si>
  <si>
    <t xml:space="preserve">A9 renta </t>
  </si>
  <si>
    <t>esthela cepeda</t>
  </si>
  <si>
    <t>sirena con moño mostrador</t>
  </si>
  <si>
    <t>8 ulio 19</t>
  </si>
  <si>
    <t>maria berenice</t>
  </si>
  <si>
    <t>A2 renta</t>
  </si>
  <si>
    <t>janeth quiroz</t>
  </si>
  <si>
    <t>matilla 012 y tocado 022 y liga 008 y porta</t>
  </si>
  <si>
    <t>mildre garcia</t>
  </si>
  <si>
    <t>p19 blanco, mantilla 003 , cinto 006, tiara o12</t>
  </si>
  <si>
    <t>entregado</t>
  </si>
  <si>
    <t>NOVIA NO CONTESTA CELULAR</t>
  </si>
  <si>
    <t>eunice daniela</t>
  </si>
  <si>
    <t>A12 renta</t>
  </si>
  <si>
    <t>p29 , cinto oo6</t>
  </si>
  <si>
    <t>s14 blanco mostrador, cinto 001</t>
  </si>
  <si>
    <t>brenda cecilia</t>
  </si>
  <si>
    <t xml:space="preserve">p26   </t>
  </si>
  <si>
    <t>abigail garza</t>
  </si>
  <si>
    <t>s15</t>
  </si>
  <si>
    <t>sirena ivory</t>
  </si>
  <si>
    <t>adaneri torres</t>
  </si>
  <si>
    <t>p19, mantilla 015,cinto007, tocado 027</t>
  </si>
  <si>
    <t>aracely carranza</t>
  </si>
  <si>
    <t>s14 ivory</t>
  </si>
  <si>
    <t>p24 ivory  y mantilla 003, cinto 007</t>
  </si>
  <si>
    <t>s13 y p24 mantilla , cinto 006 , copas</t>
  </si>
  <si>
    <t xml:space="preserve">patricia nazario </t>
  </si>
  <si>
    <t>yaquelin aleman</t>
  </si>
  <si>
    <t>p25, cinto oo6, tiara 012</t>
  </si>
  <si>
    <t xml:space="preserve"> p31 mostrador,mantilla 007, tiara 012</t>
  </si>
  <si>
    <t>erika lopez</t>
  </si>
  <si>
    <t>p28 mostrador, velo liso ,tocado 006</t>
  </si>
  <si>
    <t>F</t>
  </si>
  <si>
    <t>selena corpus</t>
  </si>
  <si>
    <t>caolina valencia</t>
  </si>
  <si>
    <t>p30 sin cola</t>
  </si>
  <si>
    <t>p16, mantilla 003, cinto 006, tocado 027, liga 006</t>
  </si>
  <si>
    <t>vanessa lizcano</t>
  </si>
  <si>
    <t>minerva rivera</t>
  </si>
  <si>
    <t>kenia lizbeth</t>
  </si>
  <si>
    <t>p26 ivory , mantilla 007</t>
  </si>
  <si>
    <t>cecilia santiago</t>
  </si>
  <si>
    <t>cinthia salazar</t>
  </si>
  <si>
    <t>narda herrera</t>
  </si>
  <si>
    <t>patricia ramos</t>
  </si>
  <si>
    <t>A13mostrador mas capa</t>
  </si>
  <si>
    <t>esmeralda flores</t>
  </si>
  <si>
    <t>p18 sin cola blanco</t>
  </si>
  <si>
    <t>p21 mas cinto 010</t>
  </si>
  <si>
    <t>lorena bustos</t>
  </si>
  <si>
    <t xml:space="preserve">A12 ivory </t>
  </si>
  <si>
    <t>laura bautista</t>
  </si>
  <si>
    <t>crecencia islas</t>
  </si>
  <si>
    <t>8132682862 y 7713023112</t>
  </si>
  <si>
    <t>elizabeth hernandez</t>
  </si>
  <si>
    <t>a</t>
  </si>
  <si>
    <t>p30 ivory mantilla 003, tira 018</t>
  </si>
  <si>
    <t>p21 mostrador , mantilla 019, cinto 006</t>
  </si>
  <si>
    <t>karla torres</t>
  </si>
  <si>
    <t xml:space="preserve">lethy ovalle </t>
  </si>
  <si>
    <t>s14 ivory , tiara 006</t>
  </si>
  <si>
    <t>micael casas</t>
  </si>
  <si>
    <t>p14, mantilla 012</t>
  </si>
  <si>
    <t xml:space="preserve">p30 </t>
  </si>
  <si>
    <t>k</t>
  </si>
  <si>
    <t>katia badillo</t>
  </si>
  <si>
    <t>p33</t>
  </si>
  <si>
    <t>cinthia carina</t>
  </si>
  <si>
    <t>p19 blanco mostrador, cinto 006, liga 010 , tocado 022</t>
  </si>
  <si>
    <t>rosario mendoza</t>
  </si>
  <si>
    <t>p33, mantilla o016</t>
  </si>
  <si>
    <t>Adriana</t>
  </si>
  <si>
    <t>2880|</t>
  </si>
  <si>
    <t>aide silva</t>
  </si>
  <si>
    <t>anallely rosales</t>
  </si>
  <si>
    <t>S14 blanco</t>
  </si>
  <si>
    <t>alondra cuellar</t>
  </si>
  <si>
    <t xml:space="preserve">A12 </t>
  </si>
  <si>
    <t>p19 ivory mantilla 003 porta</t>
  </si>
  <si>
    <t>p29 ivory , tiara o12,cinto oo7 mantolla 009</t>
  </si>
  <si>
    <t>A12, cinto tocado 023</t>
  </si>
  <si>
    <t>p30, mantilla 003, cinto 006, tocado 023</t>
  </si>
  <si>
    <t>mairani fenrnadez</t>
  </si>
  <si>
    <t>p29, cinto 006</t>
  </si>
  <si>
    <t xml:space="preserve">p24 ivory     mantilla , cinto y tocado mas porta </t>
  </si>
  <si>
    <t>p30 ivory mantilla 012 crinolina</t>
  </si>
  <si>
    <t>merari rodriguez</t>
  </si>
  <si>
    <t>p30 ivory</t>
  </si>
  <si>
    <t>evelyn nataly</t>
  </si>
  <si>
    <t>p28</t>
  </si>
  <si>
    <t>aida perales</t>
  </si>
  <si>
    <t>p28 ivory,tiara 028,cinto 006,mantilla 020, liga 009</t>
  </si>
  <si>
    <t>p24 ivory , mantilla 015, tocado 016</t>
  </si>
  <si>
    <t>sofia silverio</t>
  </si>
  <si>
    <t>s1, mantilla 003</t>
  </si>
  <si>
    <t>yuleida romo</t>
  </si>
  <si>
    <t>lucia vera</t>
  </si>
  <si>
    <t>estefania valle</t>
  </si>
  <si>
    <t>p26 ivory, mantilla 015</t>
  </si>
  <si>
    <t>samantha ramirez</t>
  </si>
  <si>
    <t>p21 blanco ,mantilla 019, cinto 006, tocado 003 porta</t>
  </si>
  <si>
    <t>p28   mantilla 023, cinto , crinolina</t>
  </si>
  <si>
    <t>26 cotubre</t>
  </si>
  <si>
    <t>ariana hernandez</t>
  </si>
  <si>
    <t>sandra valdes</t>
  </si>
  <si>
    <t>p35, cinto 006</t>
  </si>
  <si>
    <t xml:space="preserve">aracely delgado </t>
  </si>
  <si>
    <t>p36 , mantilla 016</t>
  </si>
  <si>
    <t>fatima paola</t>
  </si>
  <si>
    <t>paula guzman</t>
  </si>
  <si>
    <t>cristal robledo</t>
  </si>
  <si>
    <t>abigail martinez</t>
  </si>
  <si>
    <t xml:space="preserve">judith arriaga </t>
  </si>
  <si>
    <t>01/+A5:N506/2019</t>
  </si>
  <si>
    <t>p10 ivory,cinto 11</t>
  </si>
  <si>
    <t>berenice rodriguez</t>
  </si>
  <si>
    <t>p29, mantilla lentejuela</t>
  </si>
  <si>
    <t>magaly menzez</t>
  </si>
  <si>
    <t>p36 ivory mostrador</t>
  </si>
  <si>
    <t>wendi martinez</t>
  </si>
  <si>
    <t>p30, mantilla 5m, cinto 006, tiara 027</t>
  </si>
  <si>
    <t>reyna ojeda</t>
  </si>
  <si>
    <t xml:space="preserve">p36 ivory   </t>
  </si>
  <si>
    <t>A7 , cinto 006 tiara 026</t>
  </si>
  <si>
    <t>no incluye ajustes</t>
  </si>
  <si>
    <t>dayana peña</t>
  </si>
  <si>
    <t>josefina del angel</t>
  </si>
  <si>
    <t>p30 incluye mantilla y tiara</t>
  </si>
  <si>
    <t>pagar 6 meses</t>
  </si>
  <si>
    <t>silvia areli garza</t>
  </si>
  <si>
    <t>p33 incluye mantilla 3 m, tiara</t>
  </si>
  <si>
    <t>julie gonzalez</t>
  </si>
  <si>
    <t xml:space="preserve">s16   </t>
  </si>
  <si>
    <t>26 nov 219</t>
  </si>
  <si>
    <t>pagara en 6 pagos</t>
  </si>
  <si>
    <t>rocio soto</t>
  </si>
  <si>
    <t>p16, mantilla 007,cinto 007,liga 008</t>
  </si>
  <si>
    <t>PAGAR EN 6 PAGS</t>
  </si>
  <si>
    <t>3o nov</t>
  </si>
  <si>
    <t>ariadne reyes</t>
  </si>
  <si>
    <t>marcela verastegui</t>
  </si>
  <si>
    <t>geraldine andrade</t>
  </si>
  <si>
    <t>p4 ivory mantilla 019 tocado 003</t>
  </si>
  <si>
    <t>yadiraa esmeralda</t>
  </si>
  <si>
    <t>p15 mostrador renta</t>
  </si>
  <si>
    <t>elisa uvalle</t>
  </si>
  <si>
    <t>p10 blanco, mantilla 014, mantilla 021, cinto 006, tiara 012</t>
  </si>
  <si>
    <t>feb lo liquida</t>
  </si>
  <si>
    <t>p30 ivory , mantilla 022 cinto12  tocado 026</t>
  </si>
  <si>
    <t>victoria flores</t>
  </si>
  <si>
    <t>p29</t>
  </si>
  <si>
    <t>yessika delgado</t>
  </si>
  <si>
    <t>12/1+A6:L60/2019</t>
  </si>
  <si>
    <t>yareny quirino</t>
  </si>
  <si>
    <t>p33, mantilla 003 , tocad0 016</t>
  </si>
  <si>
    <t xml:space="preserve">p20, mantilla 003, cinto 006 </t>
  </si>
  <si>
    <t>RUBY GONZALEZ</t>
  </si>
  <si>
    <t>s10 blanco</t>
  </si>
  <si>
    <t>leslie melisa</t>
  </si>
  <si>
    <t>19/1+A8:L80/2019</t>
  </si>
  <si>
    <t>aleida rebeca</t>
  </si>
  <si>
    <t>gabriela mendez</t>
  </si>
  <si>
    <t>p12 blanco,mantlla 016, cinto 006</t>
  </si>
  <si>
    <t>p33 blanco</t>
  </si>
  <si>
    <t>diana garcia</t>
  </si>
  <si>
    <t xml:space="preserve"> 2 mayo 2020</t>
  </si>
  <si>
    <t>p28, velo 025, velo 022</t>
  </si>
  <si>
    <t xml:space="preserve">lilia aracely </t>
  </si>
  <si>
    <t>silhi varela</t>
  </si>
  <si>
    <t>ana cristina sanchez</t>
  </si>
  <si>
    <t>p38</t>
  </si>
  <si>
    <t>sarai guajardo</t>
  </si>
  <si>
    <t>bety solis</t>
  </si>
  <si>
    <t>gema aranday</t>
  </si>
  <si>
    <t>11/1+A3:J40/2019</t>
  </si>
  <si>
    <t>farrah chavez</t>
  </si>
  <si>
    <t>A15</t>
  </si>
  <si>
    <t>s17 ivory</t>
  </si>
  <si>
    <t>janeth</t>
  </si>
  <si>
    <t>diana villarreal</t>
  </si>
  <si>
    <t xml:space="preserve">p26 </t>
  </si>
  <si>
    <t>brendazuazua</t>
  </si>
  <si>
    <t>cinthia macias</t>
  </si>
  <si>
    <t>p16, cinto 006, macntilla 24</t>
  </si>
  <si>
    <t>pagar 5 pagos mas</t>
  </si>
  <si>
    <t>vanessa flor hernandez</t>
  </si>
  <si>
    <t>elsi martinez</t>
  </si>
  <si>
    <t>ruth diaz</t>
  </si>
  <si>
    <t xml:space="preserve">wendi  hernandez atonio </t>
  </si>
  <si>
    <t>4 abtil</t>
  </si>
  <si>
    <t>p40</t>
  </si>
  <si>
    <t>lucia aleman</t>
  </si>
  <si>
    <t>karime espinoza</t>
  </si>
  <si>
    <t>p29 ivory</t>
  </si>
  <si>
    <t>flor guadalupe</t>
  </si>
  <si>
    <t>p2 renta</t>
  </si>
  <si>
    <t>rosa guadaluper</t>
  </si>
  <si>
    <t>p25 ivory</t>
  </si>
  <si>
    <t xml:space="preserve">selene esquivel </t>
  </si>
  <si>
    <t>p13 ivory , mantilla 025</t>
  </si>
  <si>
    <t>araceli martinez</t>
  </si>
  <si>
    <t>kiara vianey</t>
  </si>
  <si>
    <t>p36 ivory sin cola</t>
  </si>
  <si>
    <t>yenifer rodriguez</t>
  </si>
  <si>
    <t>p25 tocado 006</t>
  </si>
  <si>
    <t>lola garcia</t>
  </si>
  <si>
    <t>p10 blanco</t>
  </si>
  <si>
    <t>liliana menchaca</t>
  </si>
  <si>
    <t>p39 mostrador cinto ) entregado)</t>
  </si>
  <si>
    <t>pagar 4 pagos mas</t>
  </si>
  <si>
    <t>victoria  estrada</t>
  </si>
  <si>
    <t>s16 transformador, cinto 006</t>
  </si>
  <si>
    <t>p30 , cinto 007</t>
  </si>
  <si>
    <t>p30 sin cola, mantilla 013</t>
  </si>
  <si>
    <t xml:space="preserve">p39   </t>
  </si>
  <si>
    <t>8115381269</t>
  </si>
  <si>
    <t>idalia martintinez</t>
  </si>
  <si>
    <t>A11 , cinto 006, mantilla 024</t>
  </si>
  <si>
    <t>8119942052</t>
  </si>
  <si>
    <t>cecilia gutierrez</t>
  </si>
  <si>
    <t>p33 ivory, mantilla 007 ivory</t>
  </si>
  <si>
    <t>8180804769</t>
  </si>
  <si>
    <t>s14 blanco, cinto 007</t>
  </si>
  <si>
    <t>8180742838</t>
  </si>
  <si>
    <t xml:space="preserve">veronica janine moreno </t>
  </si>
  <si>
    <t>8132475678</t>
  </si>
  <si>
    <t>cecilia briones</t>
  </si>
  <si>
    <t>8 febrero 202</t>
  </si>
  <si>
    <t>yessika esmeralda</t>
  </si>
  <si>
    <t>p41 renta</t>
  </si>
  <si>
    <t>maria jose</t>
  </si>
  <si>
    <t>p36 sin cola</t>
  </si>
  <si>
    <t>samantha caballero</t>
  </si>
  <si>
    <t xml:space="preserve">p32 ivory, mantilla 003 ivory, cinto 007 </t>
  </si>
  <si>
    <t>karla abigail viramontes</t>
  </si>
  <si>
    <t>rosa flores acosta</t>
  </si>
  <si>
    <t>maria del rosario melendez</t>
  </si>
  <si>
    <t>barbara vanessa  medina</t>
  </si>
  <si>
    <t>monserrat vazquez</t>
  </si>
  <si>
    <t>p40 , cinto 005</t>
  </si>
  <si>
    <t>p31 ivory, velo 2 capas</t>
  </si>
  <si>
    <t>jimena ramirez</t>
  </si>
  <si>
    <t>joquebed baez</t>
  </si>
  <si>
    <t>eva huerta</t>
  </si>
  <si>
    <t>s14 blanco, cinto 10</t>
  </si>
  <si>
    <t>tania alanis</t>
  </si>
  <si>
    <t>p21, mantilla 019 ivory</t>
  </si>
  <si>
    <t>fany hernandez</t>
  </si>
  <si>
    <t xml:space="preserve">nelly laredo </t>
  </si>
  <si>
    <t>p16 , mantilla 003</t>
  </si>
  <si>
    <t>s16 transformador, cinto 006, mantilla 016, mantilla 009, cinto 007</t>
  </si>
  <si>
    <t>mantilla 003 entregada</t>
  </si>
  <si>
    <t>ana lucia almaguer</t>
  </si>
  <si>
    <t>carla molina varajas</t>
  </si>
  <si>
    <t>24 02 2020</t>
  </si>
  <si>
    <t>p30</t>
  </si>
  <si>
    <t>esmeralda lopez</t>
  </si>
  <si>
    <t>18 de junio</t>
  </si>
  <si>
    <t>p24 mantilla 5 m cinto 007</t>
  </si>
  <si>
    <t>25-02|</t>
  </si>
  <si>
    <t>sept</t>
  </si>
  <si>
    <t>s1 liqudacion cinto 10</t>
  </si>
  <si>
    <t>marisol aguilar</t>
  </si>
  <si>
    <t>mercedes morteo</t>
  </si>
  <si>
    <t>p25 liquidacion</t>
  </si>
  <si>
    <t>denis zapata</t>
  </si>
  <si>
    <t>p42</t>
  </si>
  <si>
    <t>p1 mantilla 017</t>
  </si>
  <si>
    <t>44008</t>
  </si>
  <si>
    <t>shari trejo torres</t>
  </si>
  <si>
    <t>ada karen espinosa</t>
  </si>
  <si>
    <t>p42, mantilla 016</t>
  </si>
  <si>
    <t>erika rodriguez gomez</t>
  </si>
  <si>
    <t>elsy hernandez</t>
  </si>
  <si>
    <t>s15, crinolina sin aro</t>
  </si>
  <si>
    <t>tania puga</t>
  </si>
  <si>
    <t>mayra de la cruz</t>
  </si>
  <si>
    <t>p33 y mantilla 015</t>
  </si>
  <si>
    <t>yareli chantel</t>
  </si>
  <si>
    <t>p4 de liquidacion , mantilla 003</t>
  </si>
  <si>
    <t>maria fernanda</t>
  </si>
  <si>
    <t>renta A12</t>
  </si>
  <si>
    <t xml:space="preserve">blanca cardenas </t>
  </si>
  <si>
    <t>diana bocanegra</t>
  </si>
  <si>
    <t>kimberly torres</t>
  </si>
  <si>
    <t>p36 con cola, mantilla 003 , cinto 006</t>
  </si>
  <si>
    <t>vanesa  lizeth jacobo garcia</t>
  </si>
  <si>
    <t>p36 con cola</t>
  </si>
  <si>
    <t>12 de marzo</t>
  </si>
  <si>
    <t>patzy gonzalez</t>
  </si>
  <si>
    <t>13 de marzo</t>
  </si>
  <si>
    <t>14 de marzo</t>
  </si>
  <si>
    <t>feb 2021|</t>
  </si>
  <si>
    <t>suseth amabely</t>
  </si>
  <si>
    <t>p24</t>
  </si>
  <si>
    <t>paola de la rosa</t>
  </si>
  <si>
    <t>p30 mantilla 022 cinto 006</t>
  </si>
  <si>
    <t>miriam gress</t>
  </si>
  <si>
    <t>p26 cinto 007 mantilla 007</t>
  </si>
  <si>
    <t>p43 mantilla 024 tiara 032|2500</t>
  </si>
  <si>
    <t>p21 ivory, 1 mantilla 028</t>
  </si>
  <si>
    <t>felix  guevara ojeda</t>
  </si>
  <si>
    <t xml:space="preserve">karla fabiola contreras </t>
  </si>
  <si>
    <t>elizabeth gutierrez</t>
  </si>
  <si>
    <t>gabriela joaquin</t>
  </si>
  <si>
    <t>alondra juarez</t>
  </si>
  <si>
    <t>karen aideth martinez</t>
  </si>
  <si>
    <t xml:space="preserve"> maria antonieta gonzalez</t>
  </si>
  <si>
    <t>perla lety lopez</t>
  </si>
  <si>
    <t>10, 050</t>
  </si>
  <si>
    <t>jaqueline xiomara davila</t>
  </si>
  <si>
    <t xml:space="preserve">pagar 4 mas </t>
  </si>
  <si>
    <t>adriana garcia saavedra</t>
  </si>
  <si>
    <t>elizabeth  elizondo</t>
  </si>
  <si>
    <t>karen salazar</t>
  </si>
  <si>
    <t>p40, velo 026, tiara 29</t>
  </si>
  <si>
    <t>keyla moreno</t>
  </si>
  <si>
    <t>perla denis vaca</t>
  </si>
  <si>
    <t xml:space="preserve">p18 ivory, mantilla 016 </t>
  </si>
  <si>
    <t>elvira gonzalez</t>
  </si>
  <si>
    <t>maria gutierrez</t>
  </si>
  <si>
    <t>lorena esmeralda martinez</t>
  </si>
  <si>
    <t>s14 blanco, mantilla 022, cinto 006, tiara 017, liga 005 roja</t>
  </si>
  <si>
    <t>pospusieron evento</t>
  </si>
  <si>
    <t>pendiete pospusieron fecha</t>
  </si>
  <si>
    <t>cambio de fecha</t>
  </si>
  <si>
    <t>lupita medrano</t>
  </si>
  <si>
    <t>p26, mntilla 011, tiara 031, tiara 30 , liga con moño rosa</t>
  </si>
  <si>
    <t>lizeth edith mendoza</t>
  </si>
  <si>
    <t xml:space="preserve">p18   , mantilla 028, CRINOLINA </t>
  </si>
  <si>
    <t>llego no pagono contesto no aplica menos 10</t>
  </si>
  <si>
    <t>kate irany villareal</t>
  </si>
  <si>
    <t>p39</t>
  </si>
  <si>
    <t>dulce estrella</t>
  </si>
  <si>
    <t>p16 mantills 028</t>
  </si>
  <si>
    <t>angelica sezeth</t>
  </si>
  <si>
    <t>1070 19 abril</t>
  </si>
  <si>
    <t>deyanira aide flores moreno</t>
  </si>
  <si>
    <t>jessica moreno</t>
  </si>
  <si>
    <t>18/1+A15:N151/2019</t>
  </si>
  <si>
    <t>A16 ivory, cinto 006, mantilla 016 ivory</t>
  </si>
  <si>
    <t>karina amaro salas</t>
  </si>
  <si>
    <t>B</t>
  </si>
  <si>
    <t>karina gonzalez</t>
  </si>
  <si>
    <t>s14 blanco, tocado 29</t>
  </si>
  <si>
    <t>veronica garcia tovar</t>
  </si>
  <si>
    <t>p33, mantilla 024 y liga 010</t>
  </si>
  <si>
    <t>fernananda llanas</t>
  </si>
  <si>
    <t xml:space="preserve">p45 ivory , mantilla 017, cinto 009 </t>
  </si>
  <si>
    <t>18/+A26:N2601/2020</t>
  </si>
  <si>
    <t>p40 velo 025</t>
  </si>
  <si>
    <t>21/01/2020+M2A29:M29</t>
  </si>
  <si>
    <t>p33, tiara 016, mantilla 016, cinto 006</t>
  </si>
  <si>
    <t xml:space="preserve">4 pagos mas </t>
  </si>
  <si>
    <t>p16, mantilla 015 cinto 15</t>
  </si>
  <si>
    <t>4 pagos mas</t>
  </si>
  <si>
    <t>Daphne cardona</t>
  </si>
  <si>
    <t>p40 ivory</t>
  </si>
  <si>
    <t>p33, tocado 022, mantilla 029</t>
  </si>
  <si>
    <t>p18 ivory sin cola, mantilla 003, cinto 003</t>
  </si>
  <si>
    <t>p28, cinto 011 y tocado 31</t>
  </si>
  <si>
    <t>paola aguilera lopez</t>
  </si>
  <si>
    <t>p42  blanco y tocado 016</t>
  </si>
  <si>
    <t>yessika reyes</t>
  </si>
  <si>
    <t>maria goretti</t>
  </si>
  <si>
    <t>esther martinez martinez</t>
  </si>
  <si>
    <t>evento nov</t>
  </si>
  <si>
    <t>p26</t>
  </si>
  <si>
    <t>nelly treviño</t>
  </si>
  <si>
    <t>sandy alicia torres</t>
  </si>
  <si>
    <t xml:space="preserve"> jazmin azeneth torres</t>
  </si>
  <si>
    <t>yessica yahaira narvaez</t>
  </si>
  <si>
    <t>16 mayo 202</t>
  </si>
  <si>
    <t>yessica nayelly lara</t>
  </si>
  <si>
    <t>2910 clip</t>
  </si>
  <si>
    <t>3000 clip</t>
  </si>
  <si>
    <t>ana lucia</t>
  </si>
  <si>
    <t>yesenia marlene</t>
  </si>
  <si>
    <t>81162665017</t>
  </si>
  <si>
    <t xml:space="preserve">1000depositos </t>
  </si>
  <si>
    <t>hilda stefany aranda</t>
  </si>
  <si>
    <t>A12 renta, mantilla 003 ivory</t>
  </si>
  <si>
    <t>samantha berenice tristan</t>
  </si>
  <si>
    <t>v</t>
  </si>
  <si>
    <t>laura  guadalupe hernandez</t>
  </si>
  <si>
    <t>renata martinez</t>
  </si>
  <si>
    <t>A14, mantilla 029, tocado 035</t>
  </si>
  <si>
    <t>areli gamez vazquez</t>
  </si>
  <si>
    <t xml:space="preserve">p42 </t>
  </si>
  <si>
    <t>p12   , mantilla 015</t>
  </si>
  <si>
    <t>reyna guadalupe</t>
  </si>
  <si>
    <t>p41</t>
  </si>
  <si>
    <t>flores 3D con ziper solamente, liga 012 entegada, cinto7 00</t>
  </si>
  <si>
    <t>rosy mateos</t>
  </si>
  <si>
    <t>p39, cinto 005, tocado 022, mantilla 5 m</t>
  </si>
  <si>
    <t>guadalupe ramos</t>
  </si>
  <si>
    <t>p42 blanco, mantilla blanca 003</t>
  </si>
  <si>
    <t>estefany rivera</t>
  </si>
  <si>
    <t>A18, mantilla 027</t>
  </si>
  <si>
    <t>gabriela herrera arredondo</t>
  </si>
  <si>
    <t>soara sabdi guajardo</t>
  </si>
  <si>
    <t>17/0+A20:O203/2020</t>
  </si>
  <si>
    <t>p33 mostrador mantilla 012</t>
  </si>
  <si>
    <t>p19, mantilla 27, cinto 007, tocado 01</t>
  </si>
  <si>
    <t xml:space="preserve">cambio evento oct </t>
  </si>
  <si>
    <t>casandra flores</t>
  </si>
  <si>
    <t>lleana araceli martinez</t>
  </si>
  <si>
    <t>A12  con cola cinto 006</t>
  </si>
  <si>
    <t>alondra michel perez</t>
  </si>
  <si>
    <t>P30</t>
  </si>
  <si>
    <t>monserrat villa macias</t>
  </si>
  <si>
    <t>blanca hernandez rodriguez</t>
  </si>
  <si>
    <t>2070+A28:M28</t>
  </si>
  <si>
    <t>sarai de santiago ramirez</t>
  </si>
  <si>
    <t>leslie yaneth ortiz</t>
  </si>
  <si>
    <t>fatima flores cobas</t>
  </si>
  <si>
    <t>reyna lizeth lopez</t>
  </si>
  <si>
    <t>p25 ivory cinto 17</t>
  </si>
  <si>
    <t>27 unio 20</t>
  </si>
  <si>
    <t>sarahi alfaro ruiz</t>
  </si>
  <si>
    <t>p 48 ivory mostrador  mantilla 016  ivory cinto 006, tocado 026</t>
  </si>
  <si>
    <t>stefi diaz martinez</t>
  </si>
  <si>
    <t xml:space="preserve">s13 mostrador, mantilla 021, tocado 026, cinto 17 </t>
  </si>
  <si>
    <t>guadalupe salazar enriquez</t>
  </si>
  <si>
    <t>p45  ivory cola extra, mantilla 016</t>
  </si>
  <si>
    <t>ana celia cerda</t>
  </si>
  <si>
    <t>cambio la fecha para 2021</t>
  </si>
  <si>
    <t>arlen elizabeth rodriguez</t>
  </si>
  <si>
    <t>gabriela rios esvobar</t>
  </si>
  <si>
    <t>p44 blanco ,mostrador</t>
  </si>
  <si>
    <t>lorena anahi arredondo</t>
  </si>
  <si>
    <t>p21, mantilla 019</t>
  </si>
  <si>
    <t xml:space="preserve">leticia nohemi </t>
  </si>
  <si>
    <t>mantilla entregada</t>
  </si>
  <si>
    <t>p29, mantilla 024</t>
  </si>
  <si>
    <t>celerina santiago</t>
  </si>
  <si>
    <t>karla miranda</t>
  </si>
  <si>
    <t>p33 ivory</t>
  </si>
  <si>
    <t>p33 ivory y A14 ivory, cinto 16, tocado 33</t>
  </si>
  <si>
    <t>karla patricia rocha mendez</t>
  </si>
  <si>
    <t>p17 blanco mostrodor, velo 018,tirantes tul</t>
  </si>
  <si>
    <t>marzo del 2021</t>
  </si>
  <si>
    <t>observaciones</t>
  </si>
  <si>
    <t>1 pago</t>
  </si>
  <si>
    <t>2 pago</t>
  </si>
  <si>
    <t>3 pago</t>
  </si>
  <si>
    <t>1 pag0</t>
  </si>
  <si>
    <t>4 pago</t>
  </si>
  <si>
    <t>5 pago</t>
  </si>
  <si>
    <t>1  pago</t>
  </si>
  <si>
    <t>6 pago</t>
  </si>
  <si>
    <t>7 pago</t>
  </si>
  <si>
    <t>obsrvaciones</t>
  </si>
  <si>
    <t>8 pago</t>
  </si>
  <si>
    <t>9 pago</t>
  </si>
  <si>
    <t>10pago</t>
  </si>
  <si>
    <t>2000 29 feb</t>
  </si>
  <si>
    <t xml:space="preserve"> 31 marz2000</t>
  </si>
  <si>
    <t xml:space="preserve"> 12 may 2000</t>
  </si>
  <si>
    <t xml:space="preserve">2000 30 may </t>
  </si>
  <si>
    <t>en julio da abono y en agosto el resto</t>
  </si>
  <si>
    <t>jueves 16 jul liqida</t>
  </si>
  <si>
    <t>p24 cinto 013</t>
  </si>
  <si>
    <t>23 10 21</t>
  </si>
  <si>
    <t>debora gamez</t>
  </si>
  <si>
    <t>A12, cinto 17, mantilla 13</t>
  </si>
  <si>
    <t>ivette bazaldua</t>
  </si>
  <si>
    <t>p34 mostrador, cinto 10 y crinolina prov}cesa tul</t>
  </si>
  <si>
    <t>1 de dic 20</t>
  </si>
  <si>
    <t>pagar 5 pagos mas cambio fecha para abrilmj</t>
  </si>
  <si>
    <t>p33 , mantilla 011  cinto 17 , crinolina 6 anillos , porta</t>
  </si>
  <si>
    <t xml:space="preserve">p12 </t>
  </si>
  <si>
    <t xml:space="preserve">p47 con mangas, y mantilla 31 </t>
  </si>
  <si>
    <t>carolina gaona</t>
  </si>
  <si>
    <t>15  oct del 21</t>
  </si>
  <si>
    <t>a15</t>
  </si>
  <si>
    <t>laura  fabiola hernandez</t>
  </si>
  <si>
    <t>22 de nov 20</t>
  </si>
  <si>
    <t xml:space="preserve">cambio evento a  nov </t>
  </si>
  <si>
    <t>14 d+A17:M17e marzo</t>
  </si>
  <si>
    <t>judith  damayanthyestrada Q.</t>
  </si>
  <si>
    <t>maite garcia</t>
  </si>
  <si>
    <t>45 mantilla 016ivory , cinto 18</t>
  </si>
  <si>
    <t>selene saucedo</t>
  </si>
  <si>
    <t>p30 con cola</t>
  </si>
  <si>
    <t>p34, mantilla 5 m, cinto 006, tocado 016,aretes perla  crinolina, porta , liga</t>
  </si>
  <si>
    <t>paola castillo castro</t>
  </si>
  <si>
    <t>s1 de liquidacion, liga 014, cinto 006</t>
  </si>
  <si>
    <t>alberta hernandez hernandez</t>
  </si>
  <si>
    <t>p20, cinto 11, mantilla 019</t>
  </si>
  <si>
    <t>michelle quiroz</t>
  </si>
  <si>
    <t>s 10, mantilla 003 blanca, tocado 32, liga 004,mantilla 024</t>
  </si>
  <si>
    <t>pagar 5 pagos mas 15 viene a dejardos pagos</t>
  </si>
  <si>
    <t>areli delgadillo rodriguez</t>
  </si>
  <si>
    <t>blanca esthela santiago</t>
  </si>
  <si>
    <t>s11, cinto 16</t>
  </si>
  <si>
    <t xml:space="preserve">p38, velo </t>
  </si>
  <si>
    <t>jessica arriaga</t>
  </si>
  <si>
    <t>hesley covarrubias sosa</t>
  </si>
  <si>
    <t>octubee</t>
  </si>
  <si>
    <t>p36 sin cola, mantilla 003 ivory</t>
  </si>
  <si>
    <t>0ct 15 20</t>
  </si>
  <si>
    <t>karen anaiza rodriguez</t>
  </si>
  <si>
    <t>p29, velo iliso largo</t>
  </si>
  <si>
    <t>ana leticia virgen</t>
  </si>
  <si>
    <t>vestido A 12, mantilla oo3 , mantilla 020, cinto 14</t>
  </si>
  <si>
    <t>sarai sanchez</t>
  </si>
  <si>
    <t>p45, mantilla 20, tiara 016</t>
  </si>
  <si>
    <t>edith lopez mendoza</t>
  </si>
  <si>
    <t>no ontesto mensajes</t>
  </si>
  <si>
    <t>laura perales</t>
  </si>
  <si>
    <t>p53 mostrador</t>
  </si>
  <si>
    <t>zaira acosta ambrocio</t>
  </si>
  <si>
    <t>p21 mantilla 007 cinto 014</t>
  </si>
  <si>
    <t>aretzy margarita vela alvarez</t>
  </si>
  <si>
    <t>27/+A24:N2403/2020</t>
  </si>
  <si>
    <t>p47 con mangas, mantilla 004, liga 14</t>
  </si>
  <si>
    <t>18350 mas 1000 mangas aprox</t>
  </si>
  <si>
    <t>p26  ivory, velo 024</t>
  </si>
  <si>
    <t>marcela cavazos</t>
  </si>
  <si>
    <t>p56 sin mangas</t>
  </si>
  <si>
    <t>p32 blanco, mantilla 021</t>
  </si>
  <si>
    <t>p1, mantilla 003, cinto 14</t>
  </si>
  <si>
    <t>monica michell  moreno</t>
  </si>
  <si>
    <t>rebaca agüero</t>
  </si>
  <si>
    <t>p39, cinto 15 mantilla 016, tocado 33 , mnatilla20</t>
  </si>
  <si>
    <t>cecilia dominguez</t>
  </si>
  <si>
    <t>adiana luna</t>
  </si>
  <si>
    <t>p42, mantilla 016, cinto 006, tocado 29, crinolina 6 anillos, 2 portas</t>
  </si>
  <si>
    <t>200 portas</t>
  </si>
  <si>
    <t>tania monserrat</t>
  </si>
  <si>
    <t>renta p15</t>
  </si>
  <si>
    <t>briseidy gutierrez</t>
  </si>
  <si>
    <t>maribel carranza</t>
  </si>
  <si>
    <t xml:space="preserve">p49 ivory mantilla 5m </t>
  </si>
  <si>
    <t>p46, , cinto 11, velo liso</t>
  </si>
  <si>
    <t>p42 ivory, mantilla 5 m, cinto 007</t>
  </si>
  <si>
    <t>angelica hernandez</t>
  </si>
  <si>
    <t>yesenia banda</t>
  </si>
  <si>
    <t>karla leal</t>
  </si>
  <si>
    <t xml:space="preserve">jazmin benitez </t>
  </si>
  <si>
    <t>p56 , mantilla 025</t>
  </si>
  <si>
    <t>esmeralda lucero</t>
  </si>
  <si>
    <t>A7 ivory , cinto 005</t>
  </si>
  <si>
    <t>p33 ivory , mantilla 021</t>
  </si>
  <si>
    <t>p28 ivory, mantilla 024, cinto 14</t>
  </si>
  <si>
    <t>p24 con cola , mantilla 016, cinto 14</t>
  </si>
  <si>
    <t>p40, cinto 13</t>
  </si>
  <si>
    <t>p47 ivory, crinolina 6 anillos</t>
  </si>
  <si>
    <t>martha escalante</t>
  </si>
  <si>
    <t>p56</t>
  </si>
  <si>
    <t>p42, velo 024</t>
  </si>
  <si>
    <t xml:space="preserve">p53 mantilla 022 </t>
  </si>
  <si>
    <t>p56 con mangas, mantilla 016, cinto 12</t>
  </si>
  <si>
    <t>p28, velo2 capas liston, tocado 002, liga 14</t>
  </si>
  <si>
    <t>kelila maite hernandez</t>
  </si>
  <si>
    <t>p42 ivory</t>
  </si>
  <si>
    <t>p42, mantilla 11, crinolina</t>
  </si>
  <si>
    <t>p42, velo doble capa, tocado 016, cinto 007 1 velo liso 250, velo con perlas</t>
  </si>
  <si>
    <t>paulina jazmin rincon</t>
  </si>
  <si>
    <t>a5 mostrador , cinto 14 , manrilla 007</t>
  </si>
  <si>
    <t>salma cabriales</t>
  </si>
  <si>
    <t>p47 ivory , mantilla 011</t>
  </si>
  <si>
    <t>alexandra quintanilla</t>
  </si>
  <si>
    <t>princesa mostrador tati</t>
  </si>
  <si>
    <t>ghia admin escareño</t>
  </si>
  <si>
    <t>regalo mantilla y tocado</t>
  </si>
  <si>
    <t>p25, tocado 003 , mnatilla 004</t>
  </si>
  <si>
    <t xml:space="preserve">p30, cinto 011,velo con perlas </t>
  </si>
  <si>
    <t>karina alcala</t>
  </si>
  <si>
    <t>andrea grimaldo</t>
  </si>
  <si>
    <t>p51 con perlas en hombros</t>
  </si>
  <si>
    <t>renta p24, cinto 006</t>
  </si>
  <si>
    <t>lucia tienda paez</t>
  </si>
  <si>
    <t>p 53 iviry con champain</t>
  </si>
  <si>
    <t>leticia martinez</t>
  </si>
  <si>
    <t>s17 ivory, cinto 006, velo 2 capas con bies, liga 004 con moño morado</t>
  </si>
  <si>
    <t>cynthia maribel garcia</t>
  </si>
  <si>
    <t>no ocntesto</t>
  </si>
  <si>
    <t>no contesto mensages</t>
  </si>
  <si>
    <t>silhy varela</t>
  </si>
  <si>
    <t>a12  liquidacion</t>
  </si>
  <si>
    <t>dulce deyanira trejo</t>
  </si>
  <si>
    <t>mayra acosta</t>
  </si>
  <si>
    <t>nelly garcia</t>
  </si>
  <si>
    <t>1  956 2125344</t>
  </si>
  <si>
    <t>s15 liquidacion</t>
  </si>
  <si>
    <t>magaly berenice</t>
  </si>
  <si>
    <t>ana sofia espinoza</t>
  </si>
  <si>
    <t>yesenia beltran moreno</t>
  </si>
  <si>
    <t>s5, tiara 31, mantilla 33, cinto 010</t>
  </si>
  <si>
    <t>p3 rebaja, mantilla lentejuela, tiara 35, cinto 18</t>
  </si>
  <si>
    <t>cinto entregado</t>
  </si>
  <si>
    <t>cecilia chaveznava</t>
  </si>
  <si>
    <t>p42 blanco,mantilla 016, cinto 11, liga 15, crinolina</t>
  </si>
  <si>
    <t>karla ivonne tamez</t>
  </si>
  <si>
    <t>maria de los angeles alonso</t>
  </si>
  <si>
    <t>p51 blanco</t>
  </si>
  <si>
    <t xml:space="preserve">diana cecilia covarrubias </t>
  </si>
  <si>
    <t>s11 liquidacion</t>
  </si>
  <si>
    <t>p36, mantilla lentejuela</t>
  </si>
  <si>
    <t>mara yesenia rodriguez</t>
  </si>
  <si>
    <t>p15 blanco</t>
  </si>
  <si>
    <t>ingrid iridian martinez</t>
  </si>
  <si>
    <t>p58</t>
  </si>
  <si>
    <t>a15 liquidacion</t>
  </si>
  <si>
    <t>p19 mostrador, mantilla 003 cinto 006</t>
  </si>
  <si>
    <t xml:space="preserve">tocado entregado </t>
  </si>
  <si>
    <t>3000 dic y ene</t>
  </si>
  <si>
    <t>p16   , mantilla 012, cinto 10</t>
  </si>
  <si>
    <t>elizabeth manzo</t>
  </si>
  <si>
    <t>entregado velo y liqidado</t>
  </si>
  <si>
    <t>raquel navarro</t>
  </si>
  <si>
    <t xml:space="preserve">grisel peña lozano </t>
  </si>
  <si>
    <t>p56 con cola extra</t>
  </si>
  <si>
    <t xml:space="preserve">15300 mas 2500  cola </t>
  </si>
  <si>
    <t>olimpia escalante</t>
  </si>
  <si>
    <t>p37 liquidacion</t>
  </si>
  <si>
    <t>2000 18 dic</t>
  </si>
  <si>
    <t>2883 19 dic</t>
  </si>
  <si>
    <t>ziomara itzel hernandez</t>
  </si>
  <si>
    <t>900  19 dic</t>
  </si>
  <si>
    <t xml:space="preserve">720 19 dic </t>
  </si>
  <si>
    <t xml:space="preserve">1630 21 dic </t>
  </si>
  <si>
    <t xml:space="preserve">2000 21 dic </t>
  </si>
  <si>
    <t>blanca marisol gomez</t>
  </si>
  <si>
    <t xml:space="preserve">2100 22 dic </t>
  </si>
  <si>
    <t xml:space="preserve">2348 23  dic </t>
  </si>
  <si>
    <t>p30 con cola, crinolina 3 aros</t>
  </si>
  <si>
    <t>lizzy chavira</t>
  </si>
  <si>
    <t>2250  (29-12)</t>
  </si>
  <si>
    <t>2700 (29.12)</t>
  </si>
  <si>
    <t>1150 (28-12)</t>
  </si>
  <si>
    <t>850 ( 02.01)</t>
  </si>
  <si>
    <t>3060 (23 dic)</t>
  </si>
  <si>
    <t>1265 (23 dic)</t>
  </si>
  <si>
    <t>2000  (19 dic)</t>
  </si>
  <si>
    <t>nancy lopez aleman</t>
  </si>
  <si>
    <t>p30 ivory mostrador</t>
  </si>
  <si>
    <t>p30 con cola, mantilla 016 ivory , cinto 006 , tocado 29</t>
  </si>
  <si>
    <t>1000 (2ene)</t>
  </si>
  <si>
    <t>10000(2 ene)</t>
  </si>
  <si>
    <t xml:space="preserve">p16, cinto 016ocado 31, mantilla 21 </t>
  </si>
  <si>
    <t>1000 (4 ene)</t>
  </si>
  <si>
    <t>1400 (4 ene)</t>
  </si>
  <si>
    <t>450 tocado pagado</t>
  </si>
  <si>
    <t>1800 (5 ene)</t>
  </si>
  <si>
    <t>580 (5 ene)</t>
  </si>
  <si>
    <t>S20 ivory , crinolina sirena</t>
  </si>
  <si>
    <t>1500 (5 ener)</t>
  </si>
  <si>
    <t>2127(7 dic)</t>
  </si>
  <si>
    <t>2127 (5 ene)</t>
  </si>
  <si>
    <t>ana cecilia de leon</t>
  </si>
  <si>
    <t>nallely alejandra arrambide</t>
  </si>
  <si>
    <t>p33, mantilla 023</t>
  </si>
  <si>
    <t>iris hernandez</t>
  </si>
  <si>
    <t>p46 con perlas</t>
  </si>
  <si>
    <t>3000 (14 dic)</t>
  </si>
  <si>
    <t>800 (15 dic )</t>
  </si>
  <si>
    <t xml:space="preserve">2040 (7 dic) </t>
  </si>
  <si>
    <t>2040 (9 ene)</t>
  </si>
  <si>
    <t>2800(10)</t>
  </si>
  <si>
    <t>2800 (9 ene)</t>
  </si>
  <si>
    <t xml:space="preserve">melitza zavala </t>
  </si>
  <si>
    <t>p49, mantilla 012</t>
  </si>
  <si>
    <t>1400(30 oct)</t>
  </si>
  <si>
    <t>1400 (26sep)</t>
  </si>
  <si>
    <t>katia rangel castillo</t>
  </si>
  <si>
    <t>4400 (12 ene)</t>
  </si>
  <si>
    <t xml:space="preserve">1000 22 sep </t>
  </si>
  <si>
    <t>2500 21 oct</t>
  </si>
  <si>
    <t xml:space="preserve">250020 nov </t>
  </si>
  <si>
    <t>1550 11 enero 21</t>
  </si>
  <si>
    <t xml:space="preserve">1980 12 ene </t>
  </si>
  <si>
    <t>claudia lizbeth montoya</t>
  </si>
  <si>
    <t>2000 12 ene</t>
  </si>
  <si>
    <t>brenda iridian perez</t>
  </si>
  <si>
    <t>p29 mostrador</t>
  </si>
  <si>
    <t>mariana benitez</t>
  </si>
  <si>
    <t>3000 13 3ne</t>
  </si>
  <si>
    <t>2700 13 ene</t>
  </si>
  <si>
    <t>jackeline garcia</t>
  </si>
  <si>
    <t xml:space="preserve">p67 mostrador </t>
  </si>
  <si>
    <t>3000 14 ene</t>
  </si>
  <si>
    <t>1100 14 ene</t>
  </si>
  <si>
    <t>estefania gallegos martinez</t>
  </si>
  <si>
    <t>p61 mostrador lanesta, mantilla 034</t>
  </si>
  <si>
    <t>2000 16 ene</t>
  </si>
  <si>
    <t>maria hernandez sanchez</t>
  </si>
  <si>
    <t>200 16 ene</t>
  </si>
  <si>
    <t>1880 16 ene</t>
  </si>
  <si>
    <t>p62 lanesta</t>
  </si>
  <si>
    <t>viridiana garcia</t>
  </si>
  <si>
    <t>1750 18 ene</t>
  </si>
  <si>
    <t>3450 18 ene</t>
  </si>
  <si>
    <t>880 18 ene</t>
  </si>
  <si>
    <t xml:space="preserve">p54 ivory mantilla 016, cinto 14 </t>
  </si>
  <si>
    <t>2250 23-01</t>
  </si>
  <si>
    <t>lucero monsivais</t>
  </si>
  <si>
    <t xml:space="preserve">p56 blanco </t>
  </si>
  <si>
    <t>688 19 ene</t>
  </si>
  <si>
    <t>zulma rocio castillo</t>
  </si>
  <si>
    <t>2263 20 ene</t>
  </si>
  <si>
    <t>5200 20 ene</t>
  </si>
  <si>
    <t xml:space="preserve">p34, crinolina 6 anillos  ENTREGADA </t>
  </si>
  <si>
    <t>CRINOLINA ENTREGADA</t>
  </si>
  <si>
    <t>p20 blanco, 1 mantilla 11 5 m blanca, CINTO 11</t>
  </si>
  <si>
    <t>1425 22 ene</t>
  </si>
  <si>
    <t xml:space="preserve">fatima marisol rodriguez </t>
  </si>
  <si>
    <t>s19</t>
  </si>
  <si>
    <t xml:space="preserve">laura lisbeth cervantes </t>
  </si>
  <si>
    <t xml:space="preserve">3050 23 ene </t>
  </si>
  <si>
    <t xml:space="preserve">p60 lanesta con perlas en mangas </t>
  </si>
  <si>
    <t>paola estrello de la garza</t>
  </si>
  <si>
    <t>rebeca lopez batres</t>
  </si>
  <si>
    <t>a2 renra</t>
  </si>
  <si>
    <t>p43 ivory, mantilla lentejuela</t>
  </si>
  <si>
    <t>2600 23 ene</t>
  </si>
  <si>
    <t>delia ivette espisnosa</t>
  </si>
  <si>
    <t>23 emne 21</t>
  </si>
  <si>
    <t>lourdes alejandra delgadillo</t>
  </si>
  <si>
    <t>15 oc 21</t>
  </si>
  <si>
    <t>p36 mostrador, mantilla 035, cinto 14, tocado 016</t>
  </si>
  <si>
    <t>3000   29-01</t>
  </si>
  <si>
    <t>2000 26 ene</t>
  </si>
  <si>
    <t>2500 27 ene</t>
  </si>
  <si>
    <t>elena saaveda arredondo</t>
  </si>
  <si>
    <t>p57</t>
  </si>
  <si>
    <t xml:space="preserve">6420 27 ene </t>
  </si>
  <si>
    <t>kelly arquieta</t>
  </si>
  <si>
    <t xml:space="preserve">5050 29 ene </t>
  </si>
  <si>
    <t>1000 30 ene</t>
  </si>
  <si>
    <t xml:space="preserve">mireya mariel rendon </t>
  </si>
  <si>
    <t>3o ene 21</t>
  </si>
  <si>
    <t xml:space="preserve">2700 30 ene </t>
  </si>
  <si>
    <t>carla nohemi garza</t>
  </si>
  <si>
    <t xml:space="preserve">p56 blanco , mantilla 016 blanca </t>
  </si>
  <si>
    <t>2726 30 ene</t>
  </si>
  <si>
    <t>1950 30 ene</t>
  </si>
  <si>
    <t>p31 ivory</t>
  </si>
  <si>
    <t>yajaira viridiana  torres</t>
  </si>
  <si>
    <t>celeste yulissa avila</t>
  </si>
  <si>
    <t xml:space="preserve">p57 iory , mantilla 012 </t>
  </si>
  <si>
    <t xml:space="preserve">jenifer carolina zuñiga </t>
  </si>
  <si>
    <t>regalo matilla y tocado entregados</t>
  </si>
  <si>
    <t>regalo mantilla y tocado enregados</t>
  </si>
  <si>
    <t>nallely monserrat</t>
  </si>
  <si>
    <t>2763 2 feb</t>
  </si>
  <si>
    <t>alma ines reyna</t>
  </si>
  <si>
    <t>1000 4 feb</t>
  </si>
  <si>
    <t>1980 4 feb</t>
  </si>
  <si>
    <t xml:space="preserve">lizbeth varela guerra </t>
  </si>
  <si>
    <t xml:space="preserve">2900  5 feb </t>
  </si>
  <si>
    <t>p67, tiara 28, mantilla 034</t>
  </si>
  <si>
    <t>1400 5 feb</t>
  </si>
  <si>
    <t>1900 5 feb</t>
  </si>
  <si>
    <t>2200 6 feb</t>
  </si>
  <si>
    <t>p42, mantilla 011</t>
  </si>
  <si>
    <t>vanessa coronado</t>
  </si>
  <si>
    <t>p53</t>
  </si>
  <si>
    <t>s18 liquidacion</t>
  </si>
  <si>
    <t xml:space="preserve">2800 6 feb </t>
  </si>
  <si>
    <t>2040 8 feb</t>
  </si>
  <si>
    <t>100 8 feb</t>
  </si>
  <si>
    <t xml:space="preserve">p61 con capa LANESTA, velo 037 </t>
  </si>
  <si>
    <t>daniela stephania lozano</t>
  </si>
  <si>
    <t>A14 de liquidacion ivory, tiara 004, liga 13, cinto 18 ajustes</t>
  </si>
  <si>
    <t xml:space="preserve">1700 8 feb </t>
  </si>
  <si>
    <t>1000 8 feb</t>
  </si>
  <si>
    <t xml:space="preserve">7000 9 feb </t>
  </si>
  <si>
    <t>2400 9 feb</t>
  </si>
  <si>
    <t>ajustes 300</t>
  </si>
  <si>
    <t>900 9 feb</t>
  </si>
  <si>
    <t>p49, mantilla 033 ivory</t>
  </si>
  <si>
    <t>17/04C13:P13/2021</t>
  </si>
  <si>
    <t>1605 11 feb</t>
  </si>
  <si>
    <t>p50 mostrador, ajustes, cinto 10</t>
  </si>
  <si>
    <t>diana sarahi rodriguez</t>
  </si>
  <si>
    <t>p56 iviry, cinto 11</t>
  </si>
  <si>
    <t>2700 12 feb</t>
  </si>
  <si>
    <t>3000 12 feb</t>
  </si>
  <si>
    <t>2000 12 feb</t>
  </si>
  <si>
    <t>maria laura morales</t>
  </si>
  <si>
    <t>a12 ivory, cinto 11, mantilla 040</t>
  </si>
  <si>
    <t>600 13 feb</t>
  </si>
  <si>
    <t>6650 11 ene</t>
  </si>
  <si>
    <t>2900 16 ene</t>
  </si>
  <si>
    <t>5000  20 feb</t>
  </si>
  <si>
    <t>3000 20'02</t>
  </si>
  <si>
    <t>3300 20-02</t>
  </si>
  <si>
    <t>2000 20 feb</t>
  </si>
  <si>
    <t>5000  20-02</t>
  </si>
  <si>
    <t>2250 24-02</t>
  </si>
  <si>
    <t>2000 24-02</t>
  </si>
  <si>
    <t xml:space="preserve">800  15 feb </t>
  </si>
  <si>
    <t>3450 15 feb</t>
  </si>
  <si>
    <t>2250 16 feb</t>
  </si>
  <si>
    <t>p40, tocado 016 , velo 025 porta, liga 004</t>
  </si>
  <si>
    <t>5000 19 feb</t>
  </si>
  <si>
    <t>5500 19 feb</t>
  </si>
  <si>
    <t xml:space="preserve">wendy rodriguez </t>
  </si>
  <si>
    <t>p51 , mamtilla 035</t>
  </si>
  <si>
    <t>kelly johana perez</t>
  </si>
  <si>
    <t>s8</t>
  </si>
  <si>
    <t xml:space="preserve">dulce rocio arron cisneros </t>
  </si>
  <si>
    <t>rocio esmeralda vazquez</t>
  </si>
  <si>
    <t>1710 22 feb</t>
  </si>
  <si>
    <t xml:space="preserve">2263 22 feb </t>
  </si>
  <si>
    <t>5000 22feb</t>
  </si>
  <si>
    <t>alejandrina vargas</t>
  </si>
  <si>
    <t xml:space="preserve">9000 23 feb </t>
  </si>
  <si>
    <t>yenifer silva</t>
  </si>
  <si>
    <t>1200 24 feb</t>
  </si>
  <si>
    <t>1600 25 feb</t>
  </si>
  <si>
    <t>3000 27.02</t>
  </si>
  <si>
    <t>4600 27'02</t>
  </si>
  <si>
    <t>5000x</t>
  </si>
  <si>
    <t>7025 06'03</t>
  </si>
  <si>
    <t>FECHA</t>
  </si>
  <si>
    <t>NOMBRE</t>
  </si>
  <si>
    <t>FECHA DE BODA</t>
  </si>
  <si>
    <t>VESTIDO</t>
  </si>
  <si>
    <t>1 PAGO</t>
  </si>
  <si>
    <t>2 PAGO</t>
  </si>
  <si>
    <t>3 PAGO</t>
  </si>
  <si>
    <t>TOTAL</t>
  </si>
  <si>
    <t>TELEFONO</t>
  </si>
  <si>
    <t>2628 13-03</t>
  </si>
  <si>
    <t>2000 27 feb</t>
  </si>
  <si>
    <t>anahi cortinez gallegos</t>
  </si>
  <si>
    <t>2840 27 feb</t>
  </si>
  <si>
    <t>4040 27 feb</t>
  </si>
  <si>
    <t xml:space="preserve">p40,mantilla 011, corona 38 </t>
  </si>
  <si>
    <t>5000 1 marzo</t>
  </si>
  <si>
    <t>3560 1 marzo</t>
  </si>
  <si>
    <t>brenda s.garcia lozano</t>
  </si>
  <si>
    <t>1610 1 marzo</t>
  </si>
  <si>
    <t>2800 1marzo</t>
  </si>
  <si>
    <t>abril sanchez</t>
  </si>
  <si>
    <t>p71</t>
  </si>
  <si>
    <t>850 1marzo</t>
  </si>
  <si>
    <t>2250 2 marzo</t>
  </si>
  <si>
    <t>7000 2 marzo</t>
  </si>
  <si>
    <t xml:space="preserve">maria de jesus hernandez </t>
  </si>
  <si>
    <t>p59</t>
  </si>
  <si>
    <t>1980 2 marzo</t>
  </si>
  <si>
    <t>2700 2marzo</t>
  </si>
  <si>
    <t>2250 16 marzo</t>
  </si>
  <si>
    <t>1100 3 marzo</t>
  </si>
  <si>
    <t xml:space="preserve">p28, cinto 006, velo con perlas, mantilla 011 ivory </t>
  </si>
  <si>
    <t>1300 4marzo</t>
  </si>
  <si>
    <t>1980 5 marzo</t>
  </si>
  <si>
    <t>1500 6marzo</t>
  </si>
  <si>
    <t>ana rut karina mtz</t>
  </si>
  <si>
    <t>p21, mantilla 035, cinto 15</t>
  </si>
  <si>
    <t>deysy abigail vela</t>
  </si>
  <si>
    <t>p53, mantilla 039</t>
  </si>
  <si>
    <t>ana karen castillo martinez</t>
  </si>
  <si>
    <t xml:space="preserve">p49, mantilla 016 </t>
  </si>
  <si>
    <t>2040 8 marzo</t>
  </si>
  <si>
    <t>alejandra cantu izaguirre</t>
  </si>
  <si>
    <t>2880 8 marzo</t>
  </si>
  <si>
    <t>660 9 marzo</t>
  </si>
  <si>
    <t>2350 9marzo</t>
  </si>
  <si>
    <t>yessika yahaira ramirez</t>
  </si>
  <si>
    <t>abril correa</t>
  </si>
  <si>
    <t>3000 13marzo</t>
  </si>
  <si>
    <t>p65 lanesta, mantill 035, cinto 20</t>
  </si>
  <si>
    <t>688 13marzo</t>
  </si>
  <si>
    <t>karla lizeth de la fuente</t>
  </si>
  <si>
    <t>guadalupe monserrat</t>
  </si>
  <si>
    <t xml:space="preserve">p56 blanco, mantilla11, con aplicación de 039 con brillos </t>
  </si>
  <si>
    <t>4100 16marz0</t>
  </si>
  <si>
    <t>20001 16marzo</t>
  </si>
  <si>
    <t>3000 16marzo</t>
  </si>
  <si>
    <t>leydy sugey guajardo</t>
  </si>
  <si>
    <t>lucia aquino</t>
  </si>
  <si>
    <t>970 16marzo</t>
  </si>
  <si>
    <t>2263 17marzo</t>
  </si>
  <si>
    <t>rita belinda martinez</t>
  </si>
  <si>
    <t xml:space="preserve">maribel morales salas </t>
  </si>
  <si>
    <t>s19 mostrador, tiara 028, mantilla 036</t>
  </si>
  <si>
    <t>zulema A. segundo cortez</t>
  </si>
  <si>
    <t>p67</t>
  </si>
  <si>
    <t>2500 20marzo</t>
  </si>
  <si>
    <t>liliana brizeth franco</t>
  </si>
  <si>
    <t>1500 20 marzo</t>
  </si>
  <si>
    <t>4600 20marzo</t>
  </si>
  <si>
    <t>pago porta</t>
  </si>
  <si>
    <t>3000 20-02</t>
  </si>
  <si>
    <t>3000 18 marzo</t>
  </si>
  <si>
    <t>5000 20 marzo</t>
  </si>
  <si>
    <t>p56   , mantilla 034</t>
  </si>
  <si>
    <t>4800 20 marzo</t>
  </si>
  <si>
    <t>3060 20marzo</t>
  </si>
  <si>
    <t>2000 20 marzo</t>
  </si>
  <si>
    <t xml:space="preserve">claudia b. badillo reyna </t>
  </si>
  <si>
    <t>p47 ivory</t>
  </si>
  <si>
    <t>3600 20 marzo</t>
  </si>
  <si>
    <t>dayanada lynette perez</t>
  </si>
  <si>
    <t>s14  ivory</t>
  </si>
  <si>
    <t>8180 20marzo</t>
  </si>
  <si>
    <t>p36, tiara 016, cinto15</t>
  </si>
  <si>
    <t>1700 20marzo</t>
  </si>
  <si>
    <t>3000 22marzo</t>
  </si>
  <si>
    <t>p39 ivory, cinto 17</t>
  </si>
  <si>
    <t xml:space="preserve">theare esmeralda zavala </t>
  </si>
  <si>
    <t>p67 ivory</t>
  </si>
  <si>
    <t>1710 22marzo</t>
  </si>
  <si>
    <t>adilene cruz zarate</t>
  </si>
  <si>
    <t>p67 ivory, mantilla 039 brillos</t>
  </si>
  <si>
    <t>diana laura estrada</t>
  </si>
  <si>
    <t>p21 blanco , cinto 17</t>
  </si>
  <si>
    <t>1100 24marzo</t>
  </si>
  <si>
    <t>wendy lizeth zertuche</t>
  </si>
  <si>
    <t>guillermina sandoval</t>
  </si>
  <si>
    <t>2700 29marzo</t>
  </si>
  <si>
    <t xml:space="preserve">22502 feb </t>
  </si>
  <si>
    <t>22502 marzo</t>
  </si>
  <si>
    <t>6300 13marzo</t>
  </si>
  <si>
    <t>2863 6 marzo</t>
  </si>
  <si>
    <t>3400 9 marzo</t>
  </si>
  <si>
    <t>750 1 marzo</t>
  </si>
  <si>
    <t>3060 8marzo</t>
  </si>
  <si>
    <t>3588 9marzo</t>
  </si>
  <si>
    <t>7000 11marzo</t>
  </si>
  <si>
    <t>1100 16marzo</t>
  </si>
  <si>
    <t>3400 25marzo</t>
  </si>
  <si>
    <t>603027marzo</t>
  </si>
  <si>
    <t>cola extra4800</t>
  </si>
  <si>
    <t>p47, mantilla 033, tiara 22</t>
  </si>
  <si>
    <t>karen yazmin  hinojosa ramirez</t>
  </si>
  <si>
    <t>8520 27matzo</t>
  </si>
  <si>
    <t>6650 27marzo</t>
  </si>
  <si>
    <t>p21 muestra,cinto20</t>
  </si>
  <si>
    <t>2250 27marzo</t>
  </si>
  <si>
    <t>2250 02'04</t>
  </si>
  <si>
    <t>8020 2 abr</t>
  </si>
  <si>
    <t>2500 3abril</t>
  </si>
  <si>
    <t>2038 2  nov</t>
  </si>
  <si>
    <t>2790 29marzo</t>
  </si>
  <si>
    <t>2000 29marzo</t>
  </si>
  <si>
    <t>1813 29marzo</t>
  </si>
  <si>
    <t>872 1 abril</t>
  </si>
  <si>
    <t>emma gloria alejo</t>
  </si>
  <si>
    <t>p67 mostrador</t>
  </si>
  <si>
    <t>p33, mantilla 003 ivory</t>
  </si>
  <si>
    <t>6500 1abril</t>
  </si>
  <si>
    <t>750 1abril</t>
  </si>
  <si>
    <t>4400 1abril</t>
  </si>
  <si>
    <t>1980 2abril</t>
  </si>
  <si>
    <t>3500 2abril</t>
  </si>
  <si>
    <t xml:space="preserve"> abril 21</t>
  </si>
  <si>
    <t>gisela b. garcia niño</t>
  </si>
  <si>
    <t xml:space="preserve">p57 ivory </t>
  </si>
  <si>
    <t>valeria segura torres</t>
  </si>
  <si>
    <t>alondra guadalupe ortiz</t>
  </si>
  <si>
    <t>3000 5abri</t>
  </si>
  <si>
    <t xml:space="preserve">sara alicia torres </t>
  </si>
  <si>
    <t>1620 5abril</t>
  </si>
  <si>
    <t>1500 5abril</t>
  </si>
  <si>
    <t>3700 6abril</t>
  </si>
  <si>
    <t>miriam gonzalez lopez</t>
  </si>
  <si>
    <t>19806abril</t>
  </si>
  <si>
    <t>monica dominguez sanchez</t>
  </si>
  <si>
    <t>3210 6abril</t>
  </si>
  <si>
    <t>2750 6abril</t>
  </si>
  <si>
    <t>mirna guadalupe garcia</t>
  </si>
  <si>
    <t xml:space="preserve">leslie anahi fraire </t>
  </si>
  <si>
    <t>2863 6abril</t>
  </si>
  <si>
    <t>2250 8abril</t>
  </si>
  <si>
    <t xml:space="preserve">s10 liquidacion, tocado 023,cinto 14 </t>
  </si>
  <si>
    <t>31208abril</t>
  </si>
  <si>
    <t xml:space="preserve">1750 9abril </t>
  </si>
  <si>
    <t>A18, mantilla 034, cinto 10, tocado 034</t>
  </si>
  <si>
    <t>4100 9abril</t>
  </si>
  <si>
    <t>2040 9abril</t>
  </si>
  <si>
    <t>3400 9abril</t>
  </si>
  <si>
    <t>40009abril</t>
  </si>
  <si>
    <t>cambio fecha 10 julio 21</t>
  </si>
  <si>
    <t>2000 13 abril</t>
  </si>
  <si>
    <t>3000 19abril</t>
  </si>
  <si>
    <t>maricela gonzalez arrambide</t>
  </si>
  <si>
    <t>sandra p. rivera ramirez</t>
  </si>
  <si>
    <t xml:space="preserve">850 16 abril </t>
  </si>
  <si>
    <t>rocio aurelia chavez</t>
  </si>
  <si>
    <t>1000 10abril</t>
  </si>
  <si>
    <t xml:space="preserve">p59, velo 027, crinolina </t>
  </si>
  <si>
    <t xml:space="preserve">ada figueroa </t>
  </si>
  <si>
    <t>2700 12 abril</t>
  </si>
  <si>
    <t>670 12 abril</t>
  </si>
  <si>
    <t>3500 12 abril</t>
  </si>
  <si>
    <t>220012 abril</t>
  </si>
  <si>
    <t>2400 12abril</t>
  </si>
  <si>
    <t>8350 13abril</t>
  </si>
  <si>
    <t>3700 13abril</t>
  </si>
  <si>
    <t>3970 14 abril</t>
  </si>
  <si>
    <t>10240 14abril</t>
  </si>
  <si>
    <t>p52, velo 027</t>
  </si>
  <si>
    <t>850 15abril</t>
  </si>
  <si>
    <t>1100 15abril</t>
  </si>
  <si>
    <t>p40, mantilla 011, liga 13</t>
  </si>
  <si>
    <t>281116abril</t>
  </si>
  <si>
    <t>p21 ivory, mantilla 035</t>
  </si>
  <si>
    <t>1100 16abril</t>
  </si>
  <si>
    <t>2500 17abril</t>
  </si>
  <si>
    <t>1320 17abril</t>
  </si>
  <si>
    <t>3060 17abril</t>
  </si>
  <si>
    <t>cinthia carolina gonzalez</t>
  </si>
  <si>
    <t>p36 con cola ivory , mantilla 035 con corazones, tocado022</t>
  </si>
  <si>
    <t>5200 17abril</t>
  </si>
  <si>
    <t>8620 17abril</t>
  </si>
  <si>
    <t xml:space="preserve">nallely muñoz </t>
  </si>
  <si>
    <t>p18, cinto 23, tocado 23</t>
  </si>
  <si>
    <t>2880 17abril</t>
  </si>
  <si>
    <t>mariana carolina ortiz</t>
  </si>
  <si>
    <t>p16 mostrador, mantilla 016, cinto 21, mantilla 20</t>
  </si>
  <si>
    <t>1710 19abril</t>
  </si>
  <si>
    <t>2250 19abril</t>
  </si>
  <si>
    <t>1524 19abril</t>
  </si>
  <si>
    <t>3000 20abril</t>
  </si>
  <si>
    <t>fatima arroyo</t>
  </si>
  <si>
    <t xml:space="preserve">p56 </t>
  </si>
  <si>
    <t>samantha itzel ramirez</t>
  </si>
  <si>
    <t>4400 27 marzo</t>
  </si>
  <si>
    <t>3060 8abril</t>
  </si>
  <si>
    <t>p33, mantilla 013</t>
  </si>
  <si>
    <t>1250 01-05</t>
  </si>
  <si>
    <t>diana melissa esparza</t>
  </si>
  <si>
    <t>s</t>
  </si>
  <si>
    <t>3060 22 abril</t>
  </si>
  <si>
    <t>sonia lizeth almanza arreguin</t>
  </si>
  <si>
    <t>p47 mostrador</t>
  </si>
  <si>
    <t>4500 23 abril</t>
  </si>
  <si>
    <t>briseidy damian requeno</t>
  </si>
  <si>
    <t>3170 24 abril</t>
  </si>
  <si>
    <t>5200 24 abil</t>
  </si>
  <si>
    <t>2790 24abril</t>
  </si>
  <si>
    <t>1550 24 abril</t>
  </si>
  <si>
    <t>tocado y cinto entregados</t>
  </si>
  <si>
    <t>1100 24abril</t>
  </si>
  <si>
    <t>p53 como esta mostrador , mantilla 016 icory , ajustes y crinolina</t>
  </si>
  <si>
    <t>1980 24 abril</t>
  </si>
  <si>
    <t>2300 24abril</t>
  </si>
  <si>
    <t>2750 28 abril</t>
  </si>
  <si>
    <t>ana maria lucero muliz</t>
  </si>
  <si>
    <t>p42 ivory, mantilla 016 ivory</t>
  </si>
  <si>
    <t>yadira selene castillo</t>
  </si>
  <si>
    <t>688 29ABRIL</t>
  </si>
  <si>
    <t>2928 30abril</t>
  </si>
  <si>
    <t>2250 30abril</t>
  </si>
  <si>
    <t>p47 blanco, velo 025 perlas , crinilina 3 aros</t>
  </si>
  <si>
    <t>250 30abril</t>
  </si>
  <si>
    <t xml:space="preserve">p56, velo doble capa </t>
  </si>
  <si>
    <t>2500 30abril</t>
  </si>
  <si>
    <t>2800 30abril</t>
  </si>
  <si>
    <t>p56, velo 038</t>
  </si>
  <si>
    <t>500 1 may</t>
  </si>
  <si>
    <t xml:space="preserve">carina nohemi eguia </t>
  </si>
  <si>
    <t xml:space="preserve">juana maria lara villanueva </t>
  </si>
  <si>
    <t>2000 1 may</t>
  </si>
  <si>
    <t>ana  karen montes</t>
  </si>
  <si>
    <t>gabriela guadalupe alanis</t>
  </si>
  <si>
    <t>2070 1 may</t>
  </si>
  <si>
    <t xml:space="preserve">1750 1 may </t>
  </si>
  <si>
    <t xml:space="preserve">dana yaneth kretsch </t>
  </si>
  <si>
    <t xml:space="preserve">p53 </t>
  </si>
  <si>
    <t>1800 15-05</t>
  </si>
  <si>
    <t>2790 15-03</t>
  </si>
  <si>
    <t xml:space="preserve">2250 3 may </t>
  </si>
  <si>
    <t>1610 3 may</t>
  </si>
  <si>
    <t>300 3may</t>
  </si>
  <si>
    <t>2500 3may</t>
  </si>
  <si>
    <t>1210 4 may</t>
  </si>
  <si>
    <t>750 5 may</t>
  </si>
  <si>
    <t>p57, mantilla 028</t>
  </si>
  <si>
    <t>420 5 may</t>
  </si>
  <si>
    <t>4000 6 may</t>
  </si>
  <si>
    <t>3210 6 may</t>
  </si>
  <si>
    <t>2400 12 may</t>
  </si>
  <si>
    <t xml:space="preserve">3000 6 may </t>
  </si>
  <si>
    <t>1980 6may</t>
  </si>
  <si>
    <t>1500 6may</t>
  </si>
  <si>
    <t>3610 8may</t>
  </si>
  <si>
    <t>3400 8 may</t>
  </si>
  <si>
    <t>2000 8 may</t>
  </si>
  <si>
    <t>5500 8 may</t>
  </si>
  <si>
    <t>3863 8 may</t>
  </si>
  <si>
    <t>600 8may</t>
  </si>
  <si>
    <t>1000 8 may</t>
  </si>
  <si>
    <t>3500 8 may</t>
  </si>
  <si>
    <t xml:space="preserve">3060 12 may </t>
  </si>
  <si>
    <t>2254 12 may</t>
  </si>
  <si>
    <t>100 17may</t>
  </si>
  <si>
    <t>erin alejandra otero</t>
  </si>
  <si>
    <t>6862 13may</t>
  </si>
  <si>
    <t>2200 13 may</t>
  </si>
  <si>
    <t>1100 14 may</t>
  </si>
  <si>
    <t>1500 14 may</t>
  </si>
  <si>
    <t>5100 14 may</t>
  </si>
  <si>
    <t>3970 14 mat</t>
  </si>
  <si>
    <t>1230 15 may</t>
  </si>
  <si>
    <t>2250 15 may</t>
  </si>
  <si>
    <t>p42 ivory , mantilla 034, tiara 36, cinto 22</t>
  </si>
  <si>
    <t>1450 15 may</t>
  </si>
  <si>
    <t>2790 15 may</t>
  </si>
  <si>
    <t>300 15 may</t>
  </si>
  <si>
    <t>p33ivory, mantilla 024</t>
  </si>
  <si>
    <t>cindi marisol fabela</t>
  </si>
  <si>
    <t>renta p30 , cinto , mantilla 036</t>
  </si>
  <si>
    <t>p18, mantilla 039 con billos , cinto 21, mantilla 33, renta 2 crinolinas y porta</t>
  </si>
  <si>
    <t>11 se´p</t>
  </si>
  <si>
    <t>3060 24'05</t>
  </si>
  <si>
    <t>1050 2405</t>
  </si>
  <si>
    <t>1250 24'05</t>
  </si>
  <si>
    <t>2500 24 05</t>
  </si>
  <si>
    <t>1800 17 may</t>
  </si>
  <si>
    <t xml:space="preserve">2000 20 may </t>
  </si>
  <si>
    <t>16000 05-06</t>
  </si>
  <si>
    <t>2000 5 jun</t>
  </si>
  <si>
    <t>2000 5 junio</t>
  </si>
  <si>
    <t>1780 05-06</t>
  </si>
  <si>
    <t>5000 5 jun</t>
  </si>
  <si>
    <t xml:space="preserve">400 9 may </t>
  </si>
  <si>
    <t>5000 19 may</t>
  </si>
  <si>
    <t>p71, mantilla 022</t>
  </si>
  <si>
    <t>2000 11 jun</t>
  </si>
  <si>
    <t xml:space="preserve"> 12-062200</t>
  </si>
  <si>
    <t>venta tatyana</t>
  </si>
  <si>
    <t>renta tatiana</t>
  </si>
  <si>
    <t>1160 17 may</t>
  </si>
  <si>
    <t xml:space="preserve">xiomara marroquin martinez </t>
  </si>
  <si>
    <t xml:space="preserve">p36 </t>
  </si>
  <si>
    <t>andrea guadalupe treviño</t>
  </si>
  <si>
    <t>p46</t>
  </si>
  <si>
    <t>2250 19 may</t>
  </si>
  <si>
    <t>300010 jun</t>
  </si>
  <si>
    <t xml:space="preserve">5000 25 may </t>
  </si>
  <si>
    <t>2120 20 may</t>
  </si>
  <si>
    <t>28/1+A16:N161/2020</t>
  </si>
  <si>
    <t>1350 21 may</t>
  </si>
  <si>
    <t>650 21 may</t>
  </si>
  <si>
    <t>1960 22 may</t>
  </si>
  <si>
    <t>2880 22 may</t>
  </si>
  <si>
    <t>3000 22 may</t>
  </si>
  <si>
    <t>700 22 may</t>
  </si>
  <si>
    <t xml:space="preserve">ana karen escobedo </t>
  </si>
  <si>
    <t xml:space="preserve">miralda tejada reyes </t>
  </si>
  <si>
    <t>Adriana yareli puente</t>
  </si>
  <si>
    <t>laura treviño gonzalez</t>
  </si>
  <si>
    <t>7500 26 may</t>
  </si>
  <si>
    <t xml:space="preserve">3060 26 may </t>
  </si>
  <si>
    <t>p39, liga blanca</t>
  </si>
  <si>
    <t>900 26 may</t>
  </si>
  <si>
    <t>4000 27 may</t>
  </si>
  <si>
    <t>2750 28 may</t>
  </si>
  <si>
    <t>heleny catalina flores</t>
  </si>
  <si>
    <t xml:space="preserve">p59   </t>
  </si>
  <si>
    <t>900 29 may</t>
  </si>
  <si>
    <t>2100 31 may+A23:M24</t>
  </si>
  <si>
    <t>2000 31 may</t>
  </si>
  <si>
    <t>1900 31 may</t>
  </si>
  <si>
    <t>alejandra rangel arellano</t>
  </si>
  <si>
    <t>8037 1 jun</t>
  </si>
  <si>
    <t xml:space="preserve">2500 2 jun </t>
  </si>
  <si>
    <t>22250 2 jun</t>
  </si>
  <si>
    <t>730 2 jun</t>
  </si>
  <si>
    <t>2250 3 jun</t>
  </si>
  <si>
    <t>1700 3 jun</t>
  </si>
  <si>
    <t>yesenia sarahi perez</t>
  </si>
  <si>
    <t xml:space="preserve">3210 5 jun </t>
  </si>
  <si>
    <t>1980 5 jun</t>
  </si>
  <si>
    <t>veronica e. garcia jimenez</t>
  </si>
  <si>
    <t>p21, mantilla 027</t>
  </si>
  <si>
    <t>1925 5 jun</t>
  </si>
  <si>
    <t>1780 5 jun</t>
  </si>
  <si>
    <t>3900 5 jun</t>
  </si>
  <si>
    <t>9180 5 jun</t>
  </si>
  <si>
    <t>p56, velo 27 blanco , cinto 22</t>
  </si>
  <si>
    <t>1500 5 jun</t>
  </si>
  <si>
    <t>5 junn 21</t>
  </si>
  <si>
    <t>sharon danielle flores</t>
  </si>
  <si>
    <t xml:space="preserve">5000 7 jun </t>
  </si>
  <si>
    <t>, mantilla 21, porta</t>
  </si>
  <si>
    <t>1861 7 jun</t>
  </si>
  <si>
    <t>750 7 jun</t>
  </si>
  <si>
    <t>2420 9 jun</t>
  </si>
  <si>
    <t>4850 9 jun</t>
  </si>
  <si>
    <t>3610 9 jun</t>
  </si>
  <si>
    <t>3000 10 jun</t>
  </si>
  <si>
    <t>wendoli marisol de la cruz</t>
  </si>
  <si>
    <t>3380 10 jun</t>
  </si>
  <si>
    <t>640 10 jun</t>
  </si>
  <si>
    <t>p46, velo con perlas 4m,</t>
  </si>
  <si>
    <t>nallely ramirez torres</t>
  </si>
  <si>
    <t>8040 11 jun</t>
  </si>
  <si>
    <t>p21 ivory,cinto 21</t>
  </si>
  <si>
    <t>260 12 jun</t>
  </si>
  <si>
    <t>1000 12 jun</t>
  </si>
  <si>
    <t>1630 12 jun</t>
  </si>
  <si>
    <t>3530 12 jun</t>
  </si>
  <si>
    <t>2070 12 jun</t>
  </si>
  <si>
    <t>4800 19-06</t>
  </si>
  <si>
    <t>andrea silva</t>
  </si>
  <si>
    <t xml:space="preserve">108011 jul </t>
  </si>
  <si>
    <t>86419 ago</t>
  </si>
  <si>
    <t>86415 sep</t>
  </si>
  <si>
    <t>86417 oct</t>
  </si>
  <si>
    <t>86416 nov</t>
  </si>
  <si>
    <t>2500 3 julio</t>
  </si>
  <si>
    <t>2620 14 jun</t>
  </si>
  <si>
    <t>p57 con tirantes, mantilla 39</t>
  </si>
  <si>
    <t>carmen angelica navarro</t>
  </si>
  <si>
    <t>s14 blanco, mantilla 013 , tiara 37, mantilla lentejuela</t>
  </si>
  <si>
    <t>1390 15 jun</t>
  </si>
  <si>
    <t>p77 mostrador, mantilla 016 , cinto 22 , renta crinolina y deposito, porta</t>
  </si>
  <si>
    <t>1160 17 jun</t>
  </si>
  <si>
    <t>2250 17 jun</t>
  </si>
  <si>
    <t xml:space="preserve">100030 may </t>
  </si>
  <si>
    <t xml:space="preserve">1000 17 sep </t>
  </si>
  <si>
    <t>3000 11 abril</t>
  </si>
  <si>
    <t>2000 4 abril</t>
  </si>
  <si>
    <t>687sep</t>
  </si>
  <si>
    <t>688oct</t>
  </si>
  <si>
    <t>700nov</t>
  </si>
  <si>
    <t>688dic</t>
  </si>
  <si>
    <t>690 10 jul</t>
  </si>
  <si>
    <t>4250 10 jul</t>
  </si>
  <si>
    <t>4000 21 jun</t>
  </si>
  <si>
    <t>1800 17 jun</t>
  </si>
  <si>
    <t>50   17 jun</t>
  </si>
  <si>
    <t>4340 17 jun</t>
  </si>
  <si>
    <t>4000 18 jun</t>
  </si>
  <si>
    <t>2080 19 jun</t>
  </si>
  <si>
    <t>jovany abigail alfaro</t>
  </si>
  <si>
    <t>3500 19 jun</t>
  </si>
  <si>
    <t>amelia flores</t>
  </si>
  <si>
    <t>4000 19 jun</t>
  </si>
  <si>
    <t>1350 19 jun</t>
  </si>
  <si>
    <t>1340 21 jun</t>
  </si>
  <si>
    <t>1000 21 jun</t>
  </si>
  <si>
    <t xml:space="preserve">p25 ivory, mantilla 041, cinto 22 </t>
  </si>
  <si>
    <t>2500 23 jun</t>
  </si>
  <si>
    <t xml:space="preserve">liliana rocio ambrocio </t>
  </si>
  <si>
    <t>p71, mantilla lentejuela ivory</t>
  </si>
  <si>
    <t>lizbeth paredes sanchez</t>
  </si>
  <si>
    <t>3400  25 jun</t>
  </si>
  <si>
    <t>cristina manzo</t>
  </si>
  <si>
    <t>3060 25 jun</t>
  </si>
  <si>
    <t>3710 28 jun</t>
  </si>
  <si>
    <t>3300 29 JUN</t>
  </si>
  <si>
    <t>estefania lizeth torres</t>
  </si>
  <si>
    <t xml:space="preserve">p64 lanesta </t>
  </si>
  <si>
    <t>3100 30 jun</t>
  </si>
  <si>
    <t>p54 ivory mas talla extra, cinto 17</t>
  </si>
  <si>
    <t>2500 30 jun</t>
  </si>
  <si>
    <t>clarissa alejandra de la torre</t>
  </si>
  <si>
    <t>3060  30 jun</t>
  </si>
  <si>
    <t>500 30 jun</t>
  </si>
  <si>
    <t>p63 blanco, mantilla 033 blanca cinto 19, tocado016 y crinolina</t>
  </si>
  <si>
    <t>350 1 jul</t>
  </si>
  <si>
    <t>120 19 jul</t>
  </si>
  <si>
    <t>3600 23 feb</t>
  </si>
  <si>
    <t>370 11 feb</t>
  </si>
  <si>
    <t>5590 24 abril</t>
  </si>
  <si>
    <t>3060 1 jul</t>
  </si>
  <si>
    <t>2200 1 jul</t>
  </si>
  <si>
    <t>2000 3 jul</t>
  </si>
  <si>
    <t>p53, mantilla 11, cinto 007</t>
  </si>
  <si>
    <t>4920 1 jul</t>
  </si>
  <si>
    <t>devany hermandez</t>
  </si>
  <si>
    <t>2070 2 jul</t>
  </si>
  <si>
    <t>1500 3 jul</t>
  </si>
  <si>
    <t xml:space="preserve">alva ivette hernandez </t>
  </si>
  <si>
    <t>p67, mantilla 39</t>
  </si>
  <si>
    <t>5060 3 jul</t>
  </si>
  <si>
    <t>sarahi guajardo</t>
  </si>
  <si>
    <t>p31 mostrador</t>
  </si>
  <si>
    <t xml:space="preserve">imelda gonzalez eguia </t>
  </si>
  <si>
    <t>1300 3 jul</t>
  </si>
  <si>
    <t>p36 sin cola, mantilla 034</t>
  </si>
  <si>
    <t>1800n5 jul</t>
  </si>
  <si>
    <t>2250 5 jul</t>
  </si>
  <si>
    <t xml:space="preserve">1980 5 jul </t>
  </si>
  <si>
    <t>p36 con cola, mantilla lentejuela , crinolina 3 aros</t>
  </si>
  <si>
    <t>1050 5 jul</t>
  </si>
  <si>
    <t>3210 6 jul</t>
  </si>
  <si>
    <t xml:space="preserve">4000 6 jul </t>
  </si>
  <si>
    <t>3100 7 jul</t>
  </si>
  <si>
    <t>1500  8 jul</t>
  </si>
  <si>
    <t>2300 8 jul</t>
  </si>
  <si>
    <t>2300 8 jul+A15:O15</t>
  </si>
  <si>
    <t>2200 8 jul</t>
  </si>
  <si>
    <t>3990 9 jul</t>
  </si>
  <si>
    <t>p36 ivory , cinto 14, mantilla 39 con brillos ivory</t>
  </si>
  <si>
    <t>2780 10 jul</t>
  </si>
  <si>
    <t>3200 10 jul</t>
  </si>
  <si>
    <t>3375 9 jul</t>
  </si>
  <si>
    <t>1000 10 jul</t>
  </si>
  <si>
    <t xml:space="preserve">claudia fabiola gamez </t>
  </si>
  <si>
    <t>gabriela mabely gaona</t>
  </si>
  <si>
    <t>3610 12 jul</t>
  </si>
  <si>
    <t>2200 13 jul</t>
  </si>
  <si>
    <t>p21 mostrador, mantilla 027, renta crinolina grande y 1 de tul</t>
  </si>
  <si>
    <t>600 13 jul</t>
  </si>
  <si>
    <t>p54 ivory</t>
  </si>
  <si>
    <t>500 16 jul</t>
  </si>
  <si>
    <t>3000 16 jul</t>
  </si>
  <si>
    <t xml:space="preserve">2813 16 jul </t>
  </si>
  <si>
    <t>300 16 jul</t>
  </si>
  <si>
    <t>1210 17 jul</t>
  </si>
  <si>
    <t>100 17 jul</t>
  </si>
  <si>
    <t>4350 17 jul</t>
  </si>
  <si>
    <t>p15, renta crinolina mas deposito</t>
  </si>
  <si>
    <t>2400 17 jul</t>
  </si>
  <si>
    <t>stephanie elizabeth salazar</t>
  </si>
  <si>
    <t>p33, mantilla 41, mantilla 24</t>
  </si>
  <si>
    <t xml:space="preserve">aurora guadalupe castillo </t>
  </si>
  <si>
    <t>2800 17 jul</t>
  </si>
  <si>
    <t xml:space="preserve">2580 17 jul </t>
  </si>
  <si>
    <t>p36 con cola, crinolina 3 aros, mantilla 39</t>
  </si>
  <si>
    <t>3000 17 jul</t>
  </si>
  <si>
    <t>p77, mantilla 016ivory, cinto 11</t>
  </si>
  <si>
    <t>maria fernanda camarillo perez</t>
  </si>
  <si>
    <t>p21 ivory,mantilla 003 ivory,cinto 007</t>
  </si>
  <si>
    <t>estefany yazmin hernandez</t>
  </si>
  <si>
    <t>p81, mantilla 035, crinolina pricess tul</t>
  </si>
  <si>
    <t>780 19 julio</t>
  </si>
  <si>
    <t>lucero hinojosa  cortez</t>
  </si>
  <si>
    <t>500 20 jul</t>
  </si>
  <si>
    <t xml:space="preserve">7600 20 jul </t>
  </si>
  <si>
    <t>150 20 jul</t>
  </si>
  <si>
    <t>1450 22 jul</t>
  </si>
  <si>
    <t xml:space="preserve">2500 23 jul </t>
  </si>
  <si>
    <t>3400 24 jul</t>
  </si>
  <si>
    <t>2140 24 jul</t>
  </si>
  <si>
    <t>2000 24 jul</t>
  </si>
  <si>
    <t>5000 24 jul</t>
  </si>
  <si>
    <t>1200 24 jul</t>
  </si>
  <si>
    <t xml:space="preserve">si es talla extra 500 mas y pdir otra talla 3 mil mas </t>
  </si>
  <si>
    <t>2880 9 marzo</t>
  </si>
  <si>
    <t xml:space="preserve">17009 may </t>
  </si>
  <si>
    <t>1700 1 abril</t>
  </si>
  <si>
    <t>1700 13 jun</t>
  </si>
  <si>
    <t xml:space="preserve">1925 3 jul </t>
  </si>
  <si>
    <t>norma  selina sanchez</t>
  </si>
  <si>
    <t>13140 6 ago</t>
  </si>
  <si>
    <t>renta p24 ,mantilla 027, cinto 007, tocado 800</t>
  </si>
  <si>
    <t>5450 16 jul</t>
  </si>
  <si>
    <t>renta p54</t>
  </si>
  <si>
    <t>3600 7 Ago</t>
  </si>
  <si>
    <t>1500 4 ago</t>
  </si>
  <si>
    <t>2000 12 jun</t>
  </si>
  <si>
    <t>4500 27 jul</t>
  </si>
  <si>
    <t>3500 27 jul</t>
  </si>
  <si>
    <t xml:space="preserve">anilu escudero segura </t>
  </si>
  <si>
    <t>9320 28 jul</t>
  </si>
  <si>
    <t>2250 28 jul</t>
  </si>
  <si>
    <t>4800 28  jul</t>
  </si>
  <si>
    <t>3100 29 jul</t>
  </si>
  <si>
    <t>1800 29 jul</t>
  </si>
  <si>
    <t>1550+A8:P8</t>
  </si>
  <si>
    <t>aida flor don bizarraga</t>
  </si>
  <si>
    <t>ivette guadalupe miguel garcia</t>
  </si>
  <si>
    <t xml:space="preserve">regalo mantilla y tocado, </t>
  </si>
  <si>
    <t>4335 31 jul</t>
  </si>
  <si>
    <t>p56, mantilla 24</t>
  </si>
  <si>
    <t>johana cassandra garza treviño</t>
  </si>
  <si>
    <t>680 31 jul</t>
  </si>
  <si>
    <t>3500 2 ago</t>
  </si>
  <si>
    <t>2500 2 ago</t>
  </si>
  <si>
    <t xml:space="preserve">martha alicia serrato </t>
  </si>
  <si>
    <t>2250 2 ago</t>
  </si>
  <si>
    <t>p42, mantilla 033 ivory, renta crinolina  y deposito</t>
  </si>
  <si>
    <t>650 2 ago</t>
  </si>
  <si>
    <t>2500 3 ago</t>
  </si>
  <si>
    <t>1900 3 ago</t>
  </si>
  <si>
    <t>3000 4 ago</t>
  </si>
  <si>
    <t xml:space="preserve">p81  ivory , mantilla 016, tiara 32 </t>
  </si>
  <si>
    <t>entregada tiara 4 ago</t>
  </si>
  <si>
    <t>800 4 ago</t>
  </si>
  <si>
    <t>3300 5 ago</t>
  </si>
  <si>
    <t>p12 de liquidacion, renta 2 crinolinas con aro chica y tul mas ajustes</t>
  </si>
  <si>
    <t xml:space="preserve">frida herrera </t>
  </si>
  <si>
    <t>se cobro 1300 por 1 metro de cola extra</t>
  </si>
  <si>
    <t>350 7 ago</t>
  </si>
  <si>
    <t>3000 7 ago</t>
  </si>
  <si>
    <t>1020 7 ago</t>
  </si>
  <si>
    <t xml:space="preserve">p39 , mantilla lentejuela </t>
  </si>
  <si>
    <t>p47 ,mantilla 041 ivory</t>
  </si>
  <si>
    <t>1925 7 ago</t>
  </si>
  <si>
    <t>1920 9 ago</t>
  </si>
  <si>
    <t>1200 9 ago</t>
  </si>
  <si>
    <t>1670 9 ago</t>
  </si>
  <si>
    <t>alejandra leticia peña</t>
  </si>
  <si>
    <t>cancelo cinto</t>
  </si>
  <si>
    <t>traspasara el vestido</t>
  </si>
  <si>
    <t>se le haara valido en accesorios el anticipo</t>
  </si>
  <si>
    <t>p39, mantilla 039</t>
  </si>
  <si>
    <t xml:space="preserve">cecilia guerrero castillo </t>
  </si>
  <si>
    <t>3480 11 ago</t>
  </si>
  <si>
    <t>490 31 jul</t>
  </si>
  <si>
    <t>1000  14'08</t>
  </si>
  <si>
    <t>3000 21 -08</t>
  </si>
  <si>
    <t>2500 21 agos</t>
  </si>
  <si>
    <t>7400 21 ago</t>
  </si>
  <si>
    <t xml:space="preserve">p21, mantilla 041 , </t>
  </si>
  <si>
    <t>p56 ivory, mnatilla 39</t>
  </si>
  <si>
    <t>1280 10 ago</t>
  </si>
  <si>
    <t>5000 10 ago</t>
  </si>
  <si>
    <t xml:space="preserve">ana karen aguirre </t>
  </si>
  <si>
    <t>1200 11 ago</t>
  </si>
  <si>
    <t>2200 13 ago</t>
  </si>
  <si>
    <t>2370 21 ago</t>
  </si>
  <si>
    <t>200 28 ago</t>
  </si>
  <si>
    <t>p68, mantilla 024, tiara12,  liga roja, cinto 11 mas porta</t>
  </si>
  <si>
    <t>p21, cinto 15, mantilla 041</t>
  </si>
  <si>
    <t>p58 ivoy, mantilla 016, tiara 33, cinto</t>
  </si>
  <si>
    <t>1000 14 ago</t>
  </si>
  <si>
    <t>ruth elizabeth luna</t>
  </si>
  <si>
    <t>p84, mantilla 042</t>
  </si>
  <si>
    <t>esmeralda abigail alvarado</t>
  </si>
  <si>
    <t>2250 14 ago</t>
  </si>
  <si>
    <t>2070 14 ago</t>
  </si>
  <si>
    <t>1430 14 ago</t>
  </si>
  <si>
    <t>3000 14 ago</t>
  </si>
  <si>
    <t>2810 17 ago</t>
  </si>
  <si>
    <t>14648 17 ago</t>
  </si>
  <si>
    <t>3900 19 ago</t>
  </si>
  <si>
    <t>2400 19 ago</t>
  </si>
  <si>
    <t>460 20 ago</t>
  </si>
  <si>
    <t>5800 20 ago</t>
  </si>
  <si>
    <t xml:space="preserve">p75 mostrador, crinolina 3 aros </t>
  </si>
  <si>
    <t>3580 21 ago</t>
  </si>
  <si>
    <t>340 21 ago</t>
  </si>
  <si>
    <t>3000 21 ago</t>
  </si>
  <si>
    <t xml:space="preserve">ericka lizeth beltran </t>
  </si>
  <si>
    <t>2600 21 ago</t>
  </si>
  <si>
    <t>1300 21 ago</t>
  </si>
  <si>
    <t>p28. mantilla 035, tocado 022, cinto 22</t>
  </si>
  <si>
    <t>3070 23 ago</t>
  </si>
  <si>
    <t xml:space="preserve">2140 24 ago </t>
  </si>
  <si>
    <t>1000 26 ago</t>
  </si>
  <si>
    <t>maria rosario hernandez</t>
  </si>
  <si>
    <t>p55 mas talla extra , mantilla 004</t>
  </si>
  <si>
    <t>1500 27 ago</t>
  </si>
  <si>
    <t>4000 27 ago</t>
  </si>
  <si>
    <t>2550 27 ago</t>
  </si>
  <si>
    <t xml:space="preserve">adriana aranda hernandez </t>
  </si>
  <si>
    <t>2250 28 ago</t>
  </si>
  <si>
    <t xml:space="preserve">perla yamilet </t>
  </si>
  <si>
    <t>lizeth chavez</t>
  </si>
  <si>
    <t>p63</t>
  </si>
  <si>
    <t>2820 28 ago</t>
  </si>
  <si>
    <t>julissa ocañas</t>
  </si>
  <si>
    <t>p33, mantilla 041</t>
  </si>
  <si>
    <t>2025 28 ago</t>
  </si>
  <si>
    <t>p36 con cola, crinolina 6 aros</t>
  </si>
  <si>
    <t xml:space="preserve">anahi salinas </t>
  </si>
  <si>
    <t>3475 4 sep</t>
  </si>
  <si>
    <t>2000 4 sep</t>
  </si>
  <si>
    <t>1800 31 ago</t>
  </si>
  <si>
    <t>3210 31 ago</t>
  </si>
  <si>
    <t>3060 1 sep</t>
  </si>
  <si>
    <t>2460 2 sep</t>
  </si>
  <si>
    <t>2500 3 sep</t>
  </si>
  <si>
    <t>p56blanco, renta crinolina mas dep</t>
  </si>
  <si>
    <t>2000 3 sep</t>
  </si>
  <si>
    <t>4335 4 sep</t>
  </si>
  <si>
    <t>daniela moreno aguilar</t>
  </si>
  <si>
    <t>p58, porta plastico</t>
  </si>
  <si>
    <t>100 4 sep</t>
  </si>
  <si>
    <t>monserrat fuentes</t>
  </si>
  <si>
    <t>p46, cinto 007</t>
  </si>
  <si>
    <t xml:space="preserve">p39 , cinto 21, tocado 26, liga 13 , porta, velo 025, renta crinolina grande </t>
  </si>
  <si>
    <t>1450 4 sep</t>
  </si>
  <si>
    <t>640 4 sep</t>
  </si>
  <si>
    <t>p36 con cola , mantilla 023 mas porta</t>
  </si>
  <si>
    <t>p77 blanco, mantilla 019</t>
  </si>
  <si>
    <t>6340 30 ago</t>
  </si>
  <si>
    <t>1120  30 ago</t>
  </si>
  <si>
    <t>1120  30 ago+A15:N15</t>
  </si>
  <si>
    <t>anahi ramos rodriguez</t>
  </si>
  <si>
    <t>2000 31 ago</t>
  </si>
  <si>
    <t>3060 31 ago</t>
  </si>
  <si>
    <t>3300 31 ago</t>
  </si>
  <si>
    <t>s19, crinolina sirena</t>
  </si>
  <si>
    <t>300 6 sep</t>
  </si>
  <si>
    <t>800 6 sep</t>
  </si>
  <si>
    <t>lizeth A. mona</t>
  </si>
  <si>
    <t xml:space="preserve">2250 9 sep </t>
  </si>
  <si>
    <t>cristal</t>
  </si>
  <si>
    <t>300 11 sep</t>
  </si>
  <si>
    <t>1000  11 sep</t>
  </si>
  <si>
    <t>5000 11'09</t>
  </si>
  <si>
    <t>2200 13 '09</t>
  </si>
  <si>
    <t>2250 14 sept</t>
  </si>
  <si>
    <t>5100 14'09</t>
  </si>
  <si>
    <t>cristina de la  cruz</t>
  </si>
  <si>
    <t>lanesta rosa</t>
  </si>
  <si>
    <t>tatiana</t>
  </si>
  <si>
    <t xml:space="preserve"> 16'092280</t>
  </si>
  <si>
    <t>barbara carolina</t>
  </si>
  <si>
    <t>p71 olus mantilla 035</t>
  </si>
  <si>
    <t>brenda Gpe moreno</t>
  </si>
  <si>
    <t>Blanca Gpe</t>
  </si>
  <si>
    <t>p45</t>
  </si>
  <si>
    <t>2810 17-09</t>
  </si>
  <si>
    <t>2940 18 sept</t>
  </si>
  <si>
    <t>abigail madin mencado</t>
  </si>
  <si>
    <t xml:space="preserve"> veronica kristal lozano correa</t>
  </si>
  <si>
    <t>josianey itza torres</t>
  </si>
  <si>
    <t>1000 feb</t>
  </si>
  <si>
    <t>1550 21 sep</t>
  </si>
  <si>
    <t>mayte guzman</t>
  </si>
  <si>
    <t>p42   mas talla extra, mantilla 36</t>
  </si>
  <si>
    <t>600 17 sep</t>
  </si>
  <si>
    <t>3900 27 sept</t>
  </si>
  <si>
    <t>1200 jul</t>
  </si>
  <si>
    <t>nallely karina</t>
  </si>
  <si>
    <t>3300 9 sep</t>
  </si>
  <si>
    <t>350 11 sep</t>
  </si>
  <si>
    <t>06/03/2021+A6:N7</t>
  </si>
  <si>
    <t>350 11 sep+A6:N7</t>
  </si>
  <si>
    <t>240 11 sep</t>
  </si>
  <si>
    <t>1920 1 0ct</t>
  </si>
  <si>
    <t>2250  9 oct</t>
  </si>
  <si>
    <t>3240 24 sep</t>
  </si>
  <si>
    <t>2250 28 sep</t>
  </si>
  <si>
    <t>3950 30 sep</t>
  </si>
  <si>
    <t>300 28 sep</t>
  </si>
  <si>
    <t>540 11 sep</t>
  </si>
  <si>
    <t>p42 mas talla extra, cinto 007</t>
  </si>
  <si>
    <t>600 11 sep</t>
  </si>
  <si>
    <t>2810 16'10</t>
  </si>
  <si>
    <t>1500 16-10</t>
  </si>
  <si>
    <t>p57, mantilla 027</t>
  </si>
  <si>
    <t>2500 16'10</t>
  </si>
  <si>
    <t>1300 25 sep</t>
  </si>
  <si>
    <t>400 11 sep</t>
  </si>
  <si>
    <t>3100 9 oct</t>
  </si>
  <si>
    <t>3000 11 sep</t>
  </si>
  <si>
    <t>250 11 sep</t>
  </si>
  <si>
    <t>1450 18 oct</t>
  </si>
  <si>
    <t xml:space="preserve">200 5 oct </t>
  </si>
  <si>
    <t>6000 13 sep</t>
  </si>
  <si>
    <t>p81. mantilla 011</t>
  </si>
  <si>
    <t>550 15 oct</t>
  </si>
  <si>
    <t>p84, mantilla 011</t>
  </si>
  <si>
    <t>p56 , mantilla 042</t>
  </si>
  <si>
    <t>3700+M17</t>
  </si>
  <si>
    <t>4000 21 sep</t>
  </si>
  <si>
    <t>650 24 sep</t>
  </si>
  <si>
    <t>3500 13 oct</t>
  </si>
  <si>
    <t>2140 24 sep</t>
  </si>
  <si>
    <t xml:space="preserve">daniela alizi martinez </t>
  </si>
  <si>
    <t xml:space="preserve">p56 ,mantilla 027 ivory , cinto 11 </t>
  </si>
  <si>
    <t>2080 25 sep</t>
  </si>
  <si>
    <t>p36 ivory, velo 018, cinto 17</t>
  </si>
  <si>
    <t>3060 25 sep</t>
  </si>
  <si>
    <t>3560 25 sep</t>
  </si>
  <si>
    <t>500 25 sep</t>
  </si>
  <si>
    <t>3050 27 sep</t>
  </si>
  <si>
    <t>2900 28 sep</t>
  </si>
  <si>
    <t>3500 29 sep</t>
  </si>
  <si>
    <t>adriana natalie p.garcia</t>
  </si>
  <si>
    <t>p39 ivory mostrador</t>
  </si>
  <si>
    <t>790 30 sep</t>
  </si>
  <si>
    <t>p59 mantilla 035 velo liso, cinto007</t>
  </si>
  <si>
    <t>se devolvio 500 por diferencia de mantilla</t>
  </si>
  <si>
    <t>p42 ivory mas talla extra, velo 025</t>
  </si>
  <si>
    <t>850 30 sep</t>
  </si>
  <si>
    <t>p10 blanco modtrador, tocado 32, mantilla 015 blanca y ajustes</t>
  </si>
  <si>
    <t>700 1 oct</t>
  </si>
  <si>
    <t>3640 1 oct</t>
  </si>
  <si>
    <t>1800 1 oct</t>
  </si>
  <si>
    <t>3020 1 oct</t>
  </si>
  <si>
    <t>maria magdalena sauceda</t>
  </si>
  <si>
    <t>1890 2 oct</t>
  </si>
  <si>
    <t>850 2 oct</t>
  </si>
  <si>
    <t>2250 2 oct</t>
  </si>
  <si>
    <t>3060 2 oct</t>
  </si>
  <si>
    <t>p21, cinto 17 , mantilla 036</t>
  </si>
  <si>
    <t>1800 2 oct</t>
  </si>
  <si>
    <t>3210 2 oct</t>
  </si>
  <si>
    <t>13000 2 oct</t>
  </si>
  <si>
    <t xml:space="preserve">azucena hernandez </t>
  </si>
  <si>
    <t>p53con perlas, mantilla 042</t>
  </si>
  <si>
    <t>2600 4 oct</t>
  </si>
  <si>
    <t>2070 4 oct</t>
  </si>
  <si>
    <t>1500 5 oct</t>
  </si>
  <si>
    <t>adhara zavala</t>
  </si>
  <si>
    <t>p56 muestra, mantilla 035</t>
  </si>
  <si>
    <t>2250 8 oct</t>
  </si>
  <si>
    <t>1000 9 oct</t>
  </si>
  <si>
    <t xml:space="preserve">yamara yadira muñoz </t>
  </si>
  <si>
    <t>p56 ivory , mantilla 041</t>
  </si>
  <si>
    <t>p56, mantilla 039</t>
  </si>
  <si>
    <t>2500 9 oct</t>
  </si>
  <si>
    <t>esly gallegos gallegos</t>
  </si>
  <si>
    <t>p78 ivory muestra, mantilla 035</t>
  </si>
  <si>
    <t>diana  margarita</t>
  </si>
  <si>
    <t>2000 11 oct</t>
  </si>
  <si>
    <t>1080 12 oct</t>
  </si>
  <si>
    <t>5727 12 oct</t>
  </si>
  <si>
    <t>5600 13 oct</t>
  </si>
  <si>
    <t xml:space="preserve">karen martinez </t>
  </si>
  <si>
    <t>p69 muestra, mantilla 024, cinto 23, tiata 003</t>
  </si>
  <si>
    <t>650 15 oct</t>
  </si>
  <si>
    <t>12000 13 oct</t>
  </si>
  <si>
    <t>p64, mantilla 041</t>
  </si>
  <si>
    <t>1300 13 oct</t>
  </si>
  <si>
    <t>20014 oct</t>
  </si>
  <si>
    <t>3490 14 oct</t>
  </si>
  <si>
    <t>2500 16 oct</t>
  </si>
  <si>
    <t>mayrani antonio evangelista</t>
  </si>
  <si>
    <t>melisabed reyes santiago</t>
  </si>
  <si>
    <t>2250 16 oct</t>
  </si>
  <si>
    <t>emily daria vargas</t>
  </si>
  <si>
    <t>p38, mantilla 023 ivory</t>
  </si>
  <si>
    <t>3660 16 oct</t>
  </si>
  <si>
    <t>3100 20 oct</t>
  </si>
  <si>
    <t>3100 23'10</t>
  </si>
  <si>
    <t xml:space="preserve">p18 ivory ,tocado 29 </t>
  </si>
  <si>
    <t xml:space="preserve">p42 blanco, crinolina 6 aros </t>
  </si>
  <si>
    <t>3060 30 oct</t>
  </si>
  <si>
    <t>p71 mantilla 035 tiara 42</t>
  </si>
  <si>
    <t>p84</t>
  </si>
  <si>
    <t>maria gabriela herrera muniz</t>
  </si>
  <si>
    <t>1750 2 oct</t>
  </si>
  <si>
    <t>7000 30 oct</t>
  </si>
  <si>
    <t>p42, mantilla 024, crinolina6 aros</t>
  </si>
  <si>
    <t>5550 18 oct</t>
  </si>
  <si>
    <t>200 22 oct</t>
  </si>
  <si>
    <t>lanesta 87 mostrador</t>
  </si>
  <si>
    <t>4000 23 oct</t>
  </si>
  <si>
    <t>4000 23 ocr</t>
  </si>
  <si>
    <t>brenda nava</t>
  </si>
  <si>
    <t>2500 23 oct</t>
  </si>
  <si>
    <t>2250 23 oct</t>
  </si>
  <si>
    <t>p39, mantilla035 ivory</t>
  </si>
  <si>
    <t>rosario rodriguez arellano</t>
  </si>
  <si>
    <t>6880 25 oct</t>
  </si>
  <si>
    <t>cecilia  zetina</t>
  </si>
  <si>
    <t>p47 blanco, mantilla 02 blanca, velo liso blanco</t>
  </si>
  <si>
    <t>1100 25 oct</t>
  </si>
  <si>
    <t>2140 29 oct</t>
  </si>
  <si>
    <t>p59, cinto 007</t>
  </si>
  <si>
    <t>elena hernandez hernandez</t>
  </si>
  <si>
    <t>2250 30 oct</t>
  </si>
  <si>
    <t>alma cristina aguirre</t>
  </si>
  <si>
    <t>p33 ivory , mantilL o16, crinolina 6 aros</t>
  </si>
  <si>
    <t>p53  ,mantilla 003</t>
  </si>
  <si>
    <t>600 30 oct</t>
  </si>
  <si>
    <t xml:space="preserve"> 9000 30 oct</t>
  </si>
  <si>
    <t>monica reyes</t>
  </si>
  <si>
    <t>2070 30 oct</t>
  </si>
  <si>
    <t>6750 30 oct</t>
  </si>
  <si>
    <t xml:space="preserve">p42 ivory, mantilla 035 , tiara 042, velo liso </t>
  </si>
  <si>
    <t>4900 2 nov</t>
  </si>
  <si>
    <t>6000 06 nov</t>
  </si>
  <si>
    <t>1100 4 nov</t>
  </si>
  <si>
    <t>3060 6 nov</t>
  </si>
  <si>
    <t>2250 06 11</t>
  </si>
  <si>
    <t>1000 29 dic</t>
  </si>
  <si>
    <t>2070 1 nov</t>
  </si>
  <si>
    <t>1890 1 nov</t>
  </si>
  <si>
    <t>3560 1 nov</t>
  </si>
  <si>
    <t>3210 1 nov</t>
  </si>
  <si>
    <t xml:space="preserve">p81 ivory , mantilla 039 </t>
  </si>
  <si>
    <t>regalo velo corto mas tiara 003</t>
  </si>
  <si>
    <t>3500 4 nov</t>
  </si>
  <si>
    <t>3060 5 nov</t>
  </si>
  <si>
    <t xml:space="preserve">raquel del carmen mar </t>
  </si>
  <si>
    <t>regalo mantilla corta 001 mas tiara 003</t>
  </si>
  <si>
    <t>1100 6nov</t>
  </si>
  <si>
    <t>cesiha rubi camacho</t>
  </si>
  <si>
    <t xml:space="preserve">regalo </t>
  </si>
  <si>
    <t>p42 mostrador, mantilla 035</t>
  </si>
  <si>
    <t>perla garcia</t>
  </si>
  <si>
    <t>p54 liquidacion, cinto 17</t>
  </si>
  <si>
    <t>p67  ivory, mantilla 27</t>
  </si>
  <si>
    <t>1000 6 nov</t>
  </si>
  <si>
    <t>600 6 nov</t>
  </si>
  <si>
    <t>600 6 nov+J+A10:N10</t>
  </si>
  <si>
    <t>gabriela berenice reyna</t>
  </si>
  <si>
    <t>4000 6 nov</t>
  </si>
  <si>
    <t>p45 , mantilla 016, crinolina 6 aros</t>
  </si>
  <si>
    <t>200 6 nov</t>
  </si>
  <si>
    <t>2250 6 nov</t>
  </si>
  <si>
    <t>02/08/2021+A2:L2</t>
  </si>
  <si>
    <t xml:space="preserve">jenipher quiñones </t>
  </si>
  <si>
    <t>p10 mostrador,velo 025, cinto 20</t>
  </si>
  <si>
    <t>1550 8 nov</t>
  </si>
  <si>
    <t xml:space="preserve">dalia guadaluoe garibay </t>
  </si>
  <si>
    <t>p56, mantilla 042, cinto 006</t>
  </si>
  <si>
    <t>regalo mantilla 002, tocado 003</t>
  </si>
  <si>
    <t>4100 9 nov</t>
  </si>
  <si>
    <t>2500 9 nov</t>
  </si>
  <si>
    <t>6210 10 nov</t>
  </si>
  <si>
    <t>4890 9 nov</t>
  </si>
  <si>
    <t>leticia flores montes</t>
  </si>
  <si>
    <t>p70 ivory</t>
  </si>
  <si>
    <t>regalo mantilla corta, tocado  003</t>
  </si>
  <si>
    <t>3620 9 nov</t>
  </si>
  <si>
    <t>daniela beatriz perez</t>
  </si>
  <si>
    <t>regalo mantilla 023, tocado 003</t>
  </si>
  <si>
    <t>2250 10 nov</t>
  </si>
  <si>
    <t>2250 11 nov</t>
  </si>
  <si>
    <t xml:space="preserve">3000 11 nov </t>
  </si>
  <si>
    <t>p36 sin cola, mantilla 022, cinto 18</t>
  </si>
  <si>
    <t>p43 muestra, mantilla 012, tiara 028</t>
  </si>
  <si>
    <t>4000 12 nov</t>
  </si>
  <si>
    <t>cynthia cuevas garcia</t>
  </si>
  <si>
    <t xml:space="preserve">p33 ivory </t>
  </si>
  <si>
    <t>5000 12 nov</t>
  </si>
  <si>
    <t>p77  mostradormantilla 019 cinto 17</t>
  </si>
  <si>
    <t>2500 13'11</t>
  </si>
  <si>
    <t>2500 5 sep</t>
  </si>
  <si>
    <t>p26 ivory mostrador, tiara 39, mantilla 022</t>
  </si>
  <si>
    <t>2250 20'11</t>
  </si>
  <si>
    <t>3560 13 nov</t>
  </si>
  <si>
    <t>esmeralda azua uribe</t>
  </si>
  <si>
    <t>700 13 mov</t>
  </si>
  <si>
    <t>2250 13 nov</t>
  </si>
  <si>
    <t>5550 18 nov</t>
  </si>
  <si>
    <t>maria abigail flores</t>
  </si>
  <si>
    <t>sarahi garcia</t>
  </si>
  <si>
    <t>p86 rachel muestra</t>
  </si>
  <si>
    <t>lanesta odri</t>
  </si>
  <si>
    <t>laura trinidad</t>
  </si>
  <si>
    <t>p90</t>
  </si>
  <si>
    <t>daniela vazquez quiroz</t>
  </si>
  <si>
    <t>gisela martinez</t>
  </si>
  <si>
    <t>alondra perez vega</t>
  </si>
  <si>
    <t>p86 lanesta rachel</t>
  </si>
  <si>
    <t>paty alejandra alonso</t>
  </si>
  <si>
    <t>p36 muestra, mantilla 039</t>
  </si>
  <si>
    <t>elida sarahi garcia</t>
  </si>
  <si>
    <t>900 13 nov</t>
  </si>
  <si>
    <t>5700 13 nov</t>
  </si>
  <si>
    <t>180 16 nov</t>
  </si>
  <si>
    <t>3460 16 nov</t>
  </si>
  <si>
    <t>360 16 nov</t>
  </si>
  <si>
    <t>regalo mantilla corta 001, tocado 003</t>
  </si>
  <si>
    <t>4000 16 nov</t>
  </si>
  <si>
    <t xml:space="preserve">socorro estefania del angel </t>
  </si>
  <si>
    <t>2810 18 nov</t>
  </si>
  <si>
    <t>520 18 nov</t>
  </si>
  <si>
    <t>2500 19 nov</t>
  </si>
  <si>
    <t>2100 19 nov</t>
  </si>
  <si>
    <t>5000 20 nov</t>
  </si>
  <si>
    <t>5380 20 nov</t>
  </si>
  <si>
    <t>4800 20 nov</t>
  </si>
  <si>
    <t>3620 22 nov</t>
  </si>
  <si>
    <t>2640 23 nov</t>
  </si>
  <si>
    <t>2250 24 nov</t>
  </si>
  <si>
    <t>7020 25 nov</t>
  </si>
  <si>
    <t>cindy selene</t>
  </si>
  <si>
    <t>11750 25 nov</t>
  </si>
  <si>
    <t>950 26 nov</t>
  </si>
  <si>
    <t>p28 ivory, tocado 003</t>
  </si>
  <si>
    <t>350 26 nov</t>
  </si>
  <si>
    <t>4600 27 nov</t>
  </si>
  <si>
    <t xml:space="preserve">julia deyanira de leon </t>
  </si>
  <si>
    <t>2820 27 nov</t>
  </si>
  <si>
    <t>800 27 nov</t>
  </si>
  <si>
    <t>p26 blanco, mantilla 041 blanca tocado 2</t>
  </si>
  <si>
    <t>3060 27 nov</t>
  </si>
  <si>
    <t>500 27 nov</t>
  </si>
  <si>
    <t>karen edith del angel</t>
  </si>
  <si>
    <t>A8 , cinto 20, tocado 29, mantilla 27 blanca</t>
  </si>
  <si>
    <t>8300 27 nov</t>
  </si>
  <si>
    <t>yuridia olvera</t>
  </si>
  <si>
    <t>p53 muestra</t>
  </si>
  <si>
    <t>1500 27 nov</t>
  </si>
  <si>
    <t>700 27 nov</t>
  </si>
  <si>
    <t>5000 27  nov</t>
  </si>
  <si>
    <t>6080 29 nov</t>
  </si>
  <si>
    <t>1980 29 nov</t>
  </si>
  <si>
    <t>3210 30 nov</t>
  </si>
  <si>
    <t>1800 1 dic</t>
  </si>
  <si>
    <t>3405 2 dic</t>
  </si>
  <si>
    <t>esmeralda castrejon</t>
  </si>
  <si>
    <t>4000 3 dic</t>
  </si>
  <si>
    <t xml:space="preserve"> 2120 04'12</t>
  </si>
  <si>
    <t>1980 0412</t>
  </si>
  <si>
    <t>3060 8 dic</t>
  </si>
  <si>
    <t xml:space="preserve">3060 oct 6 </t>
  </si>
  <si>
    <t>1890 11 dic</t>
  </si>
  <si>
    <t>3810 4dic</t>
  </si>
  <si>
    <t>p67, crinolina 6 aros</t>
  </si>
  <si>
    <t xml:space="preserve">tabata soleimi mendoza </t>
  </si>
  <si>
    <t>p83 de liquidacion</t>
  </si>
  <si>
    <t>1960 11'12</t>
  </si>
  <si>
    <t xml:space="preserve"> 250013 dic</t>
  </si>
  <si>
    <t>900 4 dic</t>
  </si>
  <si>
    <t xml:space="preserve">800 4 dic </t>
  </si>
  <si>
    <t>p67 mostrador , mantilla 042,tiara 029, criniolina 6, aretes</t>
  </si>
  <si>
    <t>300 4 dic</t>
  </si>
  <si>
    <t>zaira zamora</t>
  </si>
  <si>
    <t>yuridia itzel compean</t>
  </si>
  <si>
    <t>5970 4 dic</t>
  </si>
  <si>
    <t>maria guadalupe martinez</t>
  </si>
  <si>
    <t>p84 muestra</t>
  </si>
  <si>
    <t>4100 4 dic</t>
  </si>
  <si>
    <t>1800 29 oct</t>
  </si>
  <si>
    <t>no contesto mensaje</t>
  </si>
  <si>
    <t>no contesto mensajes</t>
  </si>
  <si>
    <t>3000 8 dic</t>
  </si>
  <si>
    <t>2070 6 dic</t>
  </si>
  <si>
    <t>2500 17 nov</t>
  </si>
  <si>
    <t>silvia elia gonzalez</t>
  </si>
  <si>
    <t>3060 6 dic</t>
  </si>
  <si>
    <t>800 6 dic</t>
  </si>
  <si>
    <t>p89 mostrador, mantilla 041 ivory, cinto 10 ,renta crinolina</t>
  </si>
  <si>
    <t>2000 6 dic</t>
  </si>
  <si>
    <t>8500 8 dic</t>
  </si>
  <si>
    <t>samantha yamilet resendez</t>
  </si>
  <si>
    <t>p36 con cola , mantilla 24</t>
  </si>
  <si>
    <t>1750 8 dic</t>
  </si>
  <si>
    <t>yasiris gibelly lozano</t>
  </si>
  <si>
    <t>p73 de liquidacion lanesta</t>
  </si>
  <si>
    <t>2700 9dic</t>
  </si>
  <si>
    <t>3000 10 dic</t>
  </si>
  <si>
    <t>2250 11 dic</t>
  </si>
  <si>
    <t>1140 11 dic</t>
  </si>
  <si>
    <t>3600 11 dic</t>
  </si>
  <si>
    <t>4000 11dic</t>
  </si>
  <si>
    <t>6750 11 dic</t>
  </si>
  <si>
    <t>3120 11 dic</t>
  </si>
  <si>
    <t>5000 11 dic</t>
  </si>
  <si>
    <t>1000 11 dic</t>
  </si>
  <si>
    <t xml:space="preserve">5000 18 dic </t>
  </si>
  <si>
    <t>1500 14 dic</t>
  </si>
  <si>
    <t>perla gisel garza</t>
  </si>
  <si>
    <t>1890 15 dic</t>
  </si>
  <si>
    <t>6800 16dic</t>
  </si>
  <si>
    <t>2100 |16dic</t>
  </si>
  <si>
    <t>1200 16 dic</t>
  </si>
  <si>
    <t>p77, mantilla 016, cinto 17, tocado 42</t>
  </si>
  <si>
    <t>320 16 dic</t>
  </si>
  <si>
    <t>2500 17dic</t>
  </si>
  <si>
    <t>11010 17 dic</t>
  </si>
  <si>
    <t>4750 17 dic</t>
  </si>
  <si>
    <t>1800 17 dic</t>
  </si>
  <si>
    <t xml:space="preserve">p58 ivory, tocado 022, cinto 22 mantilla 17 </t>
  </si>
  <si>
    <t>3960 18 dic</t>
  </si>
  <si>
    <t>ruth guardado</t>
  </si>
  <si>
    <t>vestido amarillo</t>
  </si>
  <si>
    <t>5820 18dic</t>
  </si>
  <si>
    <t>3050 18 dic</t>
  </si>
  <si>
    <t>3160 18dic</t>
  </si>
  <si>
    <t>2000 20dic</t>
  </si>
  <si>
    <t>2000 20 dic</t>
  </si>
  <si>
    <t xml:space="preserve">p84 </t>
  </si>
  <si>
    <t>2070 4 ene</t>
  </si>
  <si>
    <t>5000 08'01</t>
  </si>
  <si>
    <t>2500 8 -01</t>
  </si>
  <si>
    <t>1980 8 enero</t>
  </si>
  <si>
    <t xml:space="preserve">berenice almanza </t>
  </si>
  <si>
    <t>susana michelle proa</t>
  </si>
  <si>
    <t>2640 23 dic</t>
  </si>
  <si>
    <t>alondra alvarez vazquez</t>
  </si>
  <si>
    <t>4000 23 dic</t>
  </si>
  <si>
    <t>3919 23 dic</t>
  </si>
  <si>
    <t>3075 15 '01</t>
  </si>
  <si>
    <t>4580 3enero</t>
  </si>
  <si>
    <t>cynthia de garza</t>
  </si>
  <si>
    <t>4500 14'12</t>
  </si>
  <si>
    <t>4500 15'01</t>
  </si>
  <si>
    <t>p39 bolero, velo 2 capas</t>
  </si>
  <si>
    <t>300 4 ene</t>
  </si>
  <si>
    <t>blanca guadalupe gomez</t>
  </si>
  <si>
    <t>2800 4 ene</t>
  </si>
  <si>
    <t>5000 6 ene</t>
  </si>
  <si>
    <t>5000 9 ene</t>
  </si>
  <si>
    <t>alejandra torres esquivel</t>
  </si>
  <si>
    <t>mariana cantu delgado</t>
  </si>
  <si>
    <t>3100 8 ene</t>
  </si>
  <si>
    <t>3520 8 ene</t>
  </si>
  <si>
    <t xml:space="preserve">p16  mostrador, mantilla 34 </t>
  </si>
  <si>
    <t>p82  mostrador</t>
  </si>
  <si>
    <t>johana jasso</t>
  </si>
  <si>
    <t>mireya itzel mendoza</t>
  </si>
  <si>
    <t>karla denisse jimenez</t>
  </si>
  <si>
    <t>7380 8 ene</t>
  </si>
  <si>
    <t>leticia paulina gonzalez</t>
  </si>
  <si>
    <t>3440 10 ene</t>
  </si>
  <si>
    <t>6600 10 ene</t>
  </si>
  <si>
    <t>4350 10 ene</t>
  </si>
  <si>
    <t>luisa lizeth cruz</t>
  </si>
  <si>
    <t>4000 11 ene</t>
  </si>
  <si>
    <t>maria antonia ramirez</t>
  </si>
  <si>
    <t>liza arely barron</t>
  </si>
  <si>
    <t xml:space="preserve">p99   </t>
  </si>
  <si>
    <t>3800 13 ene</t>
  </si>
  <si>
    <t>3060 14 ene</t>
  </si>
  <si>
    <t>5200 14 ene</t>
  </si>
  <si>
    <t>sarai jaime barbosa</t>
  </si>
  <si>
    <t>2400 14 ene</t>
  </si>
  <si>
    <t>3500 15 ene</t>
  </si>
  <si>
    <t xml:space="preserve">karen rocio morin </t>
  </si>
  <si>
    <t xml:space="preserve">p57 ivory, mantilla 042, crinolina 3 aros </t>
  </si>
  <si>
    <t>karla ivon contreras</t>
  </si>
  <si>
    <t>p57 ivory , velo 43 con brillos</t>
  </si>
  <si>
    <t>5000 15 ene</t>
  </si>
  <si>
    <t>marivi puebla</t>
  </si>
  <si>
    <t>2220 15 ene</t>
  </si>
  <si>
    <t>aurelia mendez garcia</t>
  </si>
  <si>
    <t>p28 mostrador, mantilla 042</t>
  </si>
  <si>
    <t>4000  18 ene</t>
  </si>
  <si>
    <t>p21, mantilla 034</t>
  </si>
  <si>
    <t>2250 14 dis</t>
  </si>
  <si>
    <t>2250 22 01</t>
  </si>
  <si>
    <t>jacqueline itzel rivera</t>
  </si>
  <si>
    <t>2640 22 ene</t>
  </si>
  <si>
    <t>s22, velo liso</t>
  </si>
  <si>
    <t>p1 ivory, cinto 28</t>
  </si>
  <si>
    <t>2250 17 ene</t>
  </si>
  <si>
    <t>2500 17 ene</t>
  </si>
  <si>
    <t xml:space="preserve">estefany fabiola sanchez </t>
  </si>
  <si>
    <t xml:space="preserve">p42, mantilla blanca </t>
  </si>
  <si>
    <t>1363 18 ene</t>
  </si>
  <si>
    <t>2100 19 ene</t>
  </si>
  <si>
    <t>3050 19 ene</t>
  </si>
  <si>
    <t xml:space="preserve">debanhi alejandra rodriguez </t>
  </si>
  <si>
    <t>p97, velo 038 ivory</t>
  </si>
  <si>
    <t>2500 22 ene</t>
  </si>
  <si>
    <t>valeria tovar mota</t>
  </si>
  <si>
    <t>A12 renta , cinto 24</t>
  </si>
  <si>
    <t>andrea sofia morado</t>
  </si>
  <si>
    <t>3060 22 ene</t>
  </si>
  <si>
    <t>2600 22 ene</t>
  </si>
  <si>
    <t xml:space="preserve">p71 ivory, tocado 26, mantilla 44, renta bolero 01 </t>
  </si>
  <si>
    <t>1800 clip</t>
  </si>
  <si>
    <t xml:space="preserve">valeria janeth </t>
  </si>
  <si>
    <t>4380 24 ene</t>
  </si>
  <si>
    <t>3000 24 ene</t>
  </si>
  <si>
    <t>3000 3 ener</t>
  </si>
  <si>
    <t>p33   mas talla extra</t>
  </si>
  <si>
    <t>2910 29 01</t>
  </si>
  <si>
    <t>7230 29 01</t>
  </si>
  <si>
    <t>7400 20 ene</t>
  </si>
  <si>
    <t>4000 26 ene</t>
  </si>
  <si>
    <t>p28  talla extra</t>
  </si>
  <si>
    <t>p33 blanco, mantilla 039, cronolina 6 aros, liga 003, tocado 42</t>
  </si>
  <si>
    <t>p56, mantilla 036 bivory,</t>
  </si>
  <si>
    <t>2000 5feb</t>
  </si>
  <si>
    <t>2500 0702</t>
  </si>
  <si>
    <t>3000 07'02</t>
  </si>
  <si>
    <t>1750  18 dis</t>
  </si>
  <si>
    <t>p58 ivory, tocado 022, cinto 22 mantilla 18</t>
  </si>
  <si>
    <t>3000 14'02</t>
  </si>
  <si>
    <t>3620 14 feb</t>
  </si>
  <si>
    <t>3000 25 ene</t>
  </si>
  <si>
    <t>480 27ene</t>
  </si>
  <si>
    <t>2940 27 ene</t>
  </si>
  <si>
    <t>alma lucero almaguer</t>
  </si>
  <si>
    <t>edith alejandra garcia</t>
  </si>
  <si>
    <t>aida juarez martinez</t>
  </si>
  <si>
    <t>ana karen nuñez</t>
  </si>
  <si>
    <t>diana lopez reyna</t>
  </si>
  <si>
    <t>p77 blanco</t>
  </si>
  <si>
    <t>lizbeth guadalupe lopez</t>
  </si>
  <si>
    <t xml:space="preserve"> claudia manuela elias</t>
  </si>
  <si>
    <t>500 19 ene</t>
  </si>
  <si>
    <t>rachel  lanesta ,velo 043v brillos</t>
  </si>
  <si>
    <t>2000 2 feb</t>
  </si>
  <si>
    <t>900 1 feb</t>
  </si>
  <si>
    <t>4380 5 feb</t>
  </si>
  <si>
    <t>julieta alejandro tello</t>
  </si>
  <si>
    <t>abigail monserrat juarez</t>
  </si>
  <si>
    <t>2210 18 feb</t>
  </si>
  <si>
    <t xml:space="preserve">p28 ivory, mantilla lentejuela </t>
  </si>
  <si>
    <t>2500 5 feb</t>
  </si>
  <si>
    <t>p88, mantilla 045, tocado 16</t>
  </si>
  <si>
    <t>1500 5 feb</t>
  </si>
  <si>
    <t>dulce perez</t>
  </si>
  <si>
    <t xml:space="preserve">p39 </t>
  </si>
  <si>
    <t>jaqueline cedillo rios</t>
  </si>
  <si>
    <t>karla lizbeth</t>
  </si>
  <si>
    <t>2120 8feb</t>
  </si>
  <si>
    <t>3690 8 feb</t>
  </si>
  <si>
    <t>katya maynel gracia</t>
  </si>
  <si>
    <t>3700 9 feb</t>
  </si>
  <si>
    <t>1320 10 feb</t>
  </si>
  <si>
    <t>aneth oralia valdez</t>
  </si>
  <si>
    <t>p39, mantilla 34, cinto 26</t>
  </si>
  <si>
    <t>3600 11 feb</t>
  </si>
  <si>
    <t>6000 11 feb</t>
  </si>
  <si>
    <t>2600 11 feb</t>
  </si>
  <si>
    <t>1500 11 feb</t>
  </si>
  <si>
    <t>4200 11 feb</t>
  </si>
  <si>
    <t>julia martinez santos</t>
  </si>
  <si>
    <t>2250 12 feb</t>
  </si>
  <si>
    <t>judith yazmin gonzalez</t>
  </si>
  <si>
    <t>p56 ivory</t>
  </si>
  <si>
    <t>p84 ivory</t>
  </si>
  <si>
    <t>4150 12 feb</t>
  </si>
  <si>
    <t>evelin mayte amaya</t>
  </si>
  <si>
    <t>natividad vargas rojas</t>
  </si>
  <si>
    <t>p57 ivory</t>
  </si>
  <si>
    <t>2650 15 feb</t>
  </si>
  <si>
    <t>4500 15 feb</t>
  </si>
  <si>
    <t>brenda montes</t>
  </si>
  <si>
    <t xml:space="preserve">p84  </t>
  </si>
  <si>
    <t>3060  15 feb</t>
  </si>
  <si>
    <t>2100 15feb</t>
  </si>
  <si>
    <t>7200 18 feb</t>
  </si>
  <si>
    <t>3710 ' 19'02</t>
  </si>
  <si>
    <t>2500   19'01¿2</t>
  </si>
  <si>
    <t>2500 16 feb</t>
  </si>
  <si>
    <t xml:space="preserve">alondra montes </t>
  </si>
  <si>
    <t>920 17 feb</t>
  </si>
  <si>
    <t>3000 18 feb</t>
  </si>
  <si>
    <t>p42 ivory, velo 025, crinolina 6 aros</t>
  </si>
  <si>
    <t>patricia santiago</t>
  </si>
  <si>
    <t>p97, tocado 32</t>
  </si>
  <si>
    <t>2640 19 feb</t>
  </si>
  <si>
    <t>edna alejandra pompa</t>
  </si>
  <si>
    <t>lanesta rachel</t>
  </si>
  <si>
    <t>1500 19 feb</t>
  </si>
  <si>
    <t>1820 19 feb</t>
  </si>
  <si>
    <t>ana laura castilleja</t>
  </si>
  <si>
    <t xml:space="preserve">p102 </t>
  </si>
  <si>
    <t>p33, mantilla 039  blanca</t>
  </si>
  <si>
    <t>p71muestra</t>
  </si>
  <si>
    <t>2500 26'02</t>
  </si>
  <si>
    <t>2890 22 feb</t>
  </si>
  <si>
    <t>lady pamela gandarilla morales</t>
  </si>
  <si>
    <t xml:space="preserve">p68 ivory, mantilla 027 </t>
  </si>
  <si>
    <t>miriam yazmin rosales</t>
  </si>
  <si>
    <t>melissa fuentes</t>
  </si>
  <si>
    <t>gabriela garza</t>
  </si>
  <si>
    <t>p53 mostrador, mantilla 045</t>
  </si>
  <si>
    <t xml:space="preserve">p47  con mangas, cinto 15 </t>
  </si>
  <si>
    <t>3060 26 feb</t>
  </si>
  <si>
    <t xml:space="preserve">4000 26 feb </t>
  </si>
  <si>
    <t>2910 26 feb</t>
  </si>
  <si>
    <t>1530 26 feb</t>
  </si>
  <si>
    <t>2500 26 feb</t>
  </si>
  <si>
    <t>aurora mendoza</t>
  </si>
  <si>
    <t xml:space="preserve">dayra elena ibarra </t>
  </si>
  <si>
    <t>3000 07'03</t>
  </si>
  <si>
    <t>4000 07'03</t>
  </si>
  <si>
    <t>3000 2 marzo</t>
  </si>
  <si>
    <t>3500 4 marzo</t>
  </si>
  <si>
    <t>1000 09'03</t>
  </si>
  <si>
    <t>p57 liquidacion, p53</t>
  </si>
  <si>
    <t>3000 28 feb</t>
  </si>
  <si>
    <t>1225 1 marzo</t>
  </si>
  <si>
    <t>karla nallely silva</t>
  </si>
  <si>
    <t>3515 3 marzo</t>
  </si>
  <si>
    <t>4380 3 marzo</t>
  </si>
  <si>
    <t>1500 4 marzo</t>
  </si>
  <si>
    <t xml:space="preserve">cindy carolina trujillo </t>
  </si>
  <si>
    <t>2300 5 marzo</t>
  </si>
  <si>
    <t>ivette hernandez</t>
  </si>
  <si>
    <t>1500 5 marzo</t>
  </si>
  <si>
    <t>3500 5 marzo</t>
  </si>
  <si>
    <t>800 5 marzo</t>
  </si>
  <si>
    <t>2100 5 marzo</t>
  </si>
  <si>
    <t>2400 5 marzo</t>
  </si>
  <si>
    <t>nora alicia serna</t>
  </si>
  <si>
    <t>p103</t>
  </si>
  <si>
    <t>3000 7 marzo</t>
  </si>
  <si>
    <t>4020 15'03</t>
  </si>
  <si>
    <t>3060  15'03</t>
  </si>
  <si>
    <t>5000 17'03</t>
  </si>
  <si>
    <t>2100 15 marzo</t>
  </si>
  <si>
    <t>3060 7 marzo</t>
  </si>
  <si>
    <t>700 7 marzo</t>
  </si>
  <si>
    <t>3440 7 mazo</t>
  </si>
  <si>
    <t>4654 8 marzo</t>
  </si>
  <si>
    <t>7800 8 marzo</t>
  </si>
  <si>
    <t>3500 8 marzo</t>
  </si>
  <si>
    <t>3690 8 marzo</t>
  </si>
  <si>
    <t>175 p marz0</t>
  </si>
  <si>
    <t>2500 10 marzo</t>
  </si>
  <si>
    <t>2295 12 marzo</t>
  </si>
  <si>
    <t>2000 12 marzo</t>
  </si>
  <si>
    <t>6000 12 marzo</t>
  </si>
  <si>
    <t>2250 12 marzo</t>
  </si>
  <si>
    <t xml:space="preserve">devani almendarez </t>
  </si>
  <si>
    <t>3100 12 marzo</t>
  </si>
  <si>
    <t>1020 12 marzo</t>
  </si>
  <si>
    <t>2500 12 marzo</t>
  </si>
  <si>
    <t>alondra j. acosta</t>
  </si>
  <si>
    <t>p111 color dorado liquidacion</t>
  </si>
  <si>
    <t>5000 14 marzo</t>
  </si>
  <si>
    <t>p96 , mantilla 039, cinto 016</t>
  </si>
  <si>
    <t>3000 15 marzo</t>
  </si>
  <si>
    <t>nallely martinez martinez</t>
  </si>
  <si>
    <t>3740 16 marzo</t>
  </si>
  <si>
    <t>2890 16 marz0</t>
  </si>
  <si>
    <t>2650 16 marzo</t>
  </si>
  <si>
    <t xml:space="preserve">2000 17 marzo </t>
  </si>
  <si>
    <t>karla lizeth reyes</t>
  </si>
  <si>
    <t>jokebed yire gamez</t>
  </si>
  <si>
    <t>p97 velo 018 ivory</t>
  </si>
  <si>
    <t>300 17 marzo</t>
  </si>
  <si>
    <t>claudia i.  Gaxiola</t>
  </si>
  <si>
    <t>1780 18 marzo</t>
  </si>
  <si>
    <t>4000 18 marzo</t>
  </si>
  <si>
    <t xml:space="preserve">estefany diaz </t>
  </si>
  <si>
    <t>p79</t>
  </si>
  <si>
    <t>4120 19 marzo</t>
  </si>
  <si>
    <t>nonako yokoyama</t>
  </si>
  <si>
    <t>1980 19 marzo</t>
  </si>
  <si>
    <t>3710 19 marzo</t>
  </si>
  <si>
    <t>2000 19 marzo</t>
  </si>
  <si>
    <t>3960 21 marzo</t>
  </si>
  <si>
    <t>kenya estefany castillo</t>
  </si>
  <si>
    <t>1000 21 marzo</t>
  </si>
  <si>
    <t>7350n 22 marzo</t>
  </si>
  <si>
    <t xml:space="preserve">2500 26 marzo </t>
  </si>
  <si>
    <t>4020 22 marzo</t>
  </si>
  <si>
    <t>2240 22 marzo</t>
  </si>
  <si>
    <t>selene simental escobedo</t>
  </si>
  <si>
    <t xml:space="preserve">p97 muestra </t>
  </si>
  <si>
    <t>2250 24 marzo</t>
  </si>
  <si>
    <t>1500 24 marzo</t>
  </si>
  <si>
    <t>600 25 ,arzo</t>
  </si>
  <si>
    <t>3860 25 marzo</t>
  </si>
  <si>
    <t>15230 26  marzo</t>
  </si>
  <si>
    <t>.</t>
  </si>
  <si>
    <t>2300 28 marzo</t>
  </si>
  <si>
    <t>2000 28'03</t>
  </si>
  <si>
    <t>3000 29'03</t>
  </si>
  <si>
    <t>p96</t>
  </si>
  <si>
    <t>priscila elizondo</t>
  </si>
  <si>
    <t>p64 cinto 026</t>
  </si>
  <si>
    <t xml:space="preserve">paola yamilet guzman </t>
  </si>
  <si>
    <t>p47 mantilla 039</t>
  </si>
  <si>
    <t>4045  31 marz</t>
  </si>
  <si>
    <t>4240 31 marz</t>
  </si>
  <si>
    <t>3000 1 abril</t>
  </si>
  <si>
    <t>2925 1 abril</t>
  </si>
  <si>
    <t xml:space="preserve">2400 1 abril </t>
  </si>
  <si>
    <t>1225 1 abril</t>
  </si>
  <si>
    <t>6120 2 abril</t>
  </si>
  <si>
    <t>angelica yadira moreno</t>
  </si>
  <si>
    <t>karla johana ondarza</t>
  </si>
  <si>
    <t>maria valeria morales</t>
  </si>
  <si>
    <t>dulce fabiola rodriguez</t>
  </si>
  <si>
    <t>p2 blanco liquidacion</t>
  </si>
  <si>
    <t>3440 07'04</t>
  </si>
  <si>
    <t>2500 9 abril</t>
  </si>
  <si>
    <t>3800 12 abril</t>
  </si>
  <si>
    <t>3500 12  abril</t>
  </si>
  <si>
    <t>cecilia hernandez</t>
  </si>
  <si>
    <t>2250 2 abril</t>
  </si>
  <si>
    <t>2620 2 abril</t>
  </si>
  <si>
    <t>melany dallan garcia</t>
  </si>
  <si>
    <t>2295 4abril</t>
  </si>
  <si>
    <t>3000 6abril</t>
  </si>
  <si>
    <t>7500 6 abril</t>
  </si>
  <si>
    <t>p56 blanco , mantilla 039 , tocado 016</t>
  </si>
  <si>
    <t>6580 6 abril</t>
  </si>
  <si>
    <t>3100 7 abril</t>
  </si>
  <si>
    <t>3060 8 abril</t>
  </si>
  <si>
    <t>1500 8 abril</t>
  </si>
  <si>
    <t>3000 8 abril</t>
  </si>
  <si>
    <t xml:space="preserve">p96, mantilla 045 ivory, tiara 012 </t>
  </si>
  <si>
    <t>tiara pagada y entregada</t>
  </si>
  <si>
    <t xml:space="preserve">gema paulina colunga </t>
  </si>
  <si>
    <t>4654 8 abril</t>
  </si>
  <si>
    <t xml:space="preserve">p56, tocado 022 </t>
  </si>
  <si>
    <t>650 8abril</t>
  </si>
  <si>
    <t>tocado entregado</t>
  </si>
  <si>
    <t>3690 8abril</t>
  </si>
  <si>
    <t xml:space="preserve">blanca patricia sierra </t>
  </si>
  <si>
    <t>2750 9abril</t>
  </si>
  <si>
    <t>2400 9 abril</t>
  </si>
  <si>
    <t>giselle alejandra lucio</t>
  </si>
  <si>
    <t>p56, cinto 015</t>
  </si>
  <si>
    <t>1320  11abril</t>
  </si>
  <si>
    <t>2000 11 abril</t>
  </si>
  <si>
    <t>3000 12 abril</t>
  </si>
  <si>
    <t>rubi esmeralda perez</t>
  </si>
  <si>
    <t>2250 12 abril</t>
  </si>
  <si>
    <t>3780 13 abril</t>
  </si>
  <si>
    <t>3000 13 abril</t>
  </si>
  <si>
    <t>3250 13 abril</t>
  </si>
  <si>
    <t>karla esther mendoza</t>
  </si>
  <si>
    <t>3100 14 abril</t>
  </si>
  <si>
    <t>p42 ivory, cinto 15</t>
  </si>
  <si>
    <t>4500 15 abril</t>
  </si>
  <si>
    <t xml:space="preserve">1500 15 abril </t>
  </si>
  <si>
    <t>250 15 abril</t>
  </si>
  <si>
    <t>gema esmeralda ramirez</t>
  </si>
  <si>
    <t>p92, cinto 24</t>
  </si>
  <si>
    <t>karla flores pulido</t>
  </si>
  <si>
    <t>4200 15 marzo</t>
  </si>
  <si>
    <t>2050 16 abril</t>
  </si>
  <si>
    <t>3100 16 abril</t>
  </si>
  <si>
    <t>4020 18'04</t>
  </si>
  <si>
    <t xml:space="preserve">adriana monserrat </t>
  </si>
  <si>
    <t>2430 23'04</t>
  </si>
  <si>
    <t>2000 23'04</t>
  </si>
  <si>
    <t>2500  23 abril</t>
  </si>
  <si>
    <t>Liliana betanzo</t>
  </si>
  <si>
    <t>ana laura alvarez</t>
  </si>
  <si>
    <t>jenifer vellaral</t>
  </si>
  <si>
    <t>Barbara berenice</t>
  </si>
  <si>
    <t>p92 con mangas</t>
  </si>
  <si>
    <t>6000 26 abr</t>
  </si>
  <si>
    <t>p47 con transparencia</t>
  </si>
  <si>
    <t>no contesta mensajes</t>
  </si>
  <si>
    <t>no cntesta mensajes</t>
  </si>
  <si>
    <t>3710 16 abril</t>
  </si>
  <si>
    <t>1500 18 abril</t>
  </si>
  <si>
    <t>3760 18 abril</t>
  </si>
  <si>
    <t>2500 18 abril</t>
  </si>
  <si>
    <t xml:space="preserve">p107 , mantilla 045, cinto 27 </t>
  </si>
  <si>
    <t>3030 18 abril</t>
  </si>
  <si>
    <t>150 18 abril</t>
  </si>
  <si>
    <t>p40, velo 027, cinto 24, tiara 42</t>
  </si>
  <si>
    <t>2000 19 abril</t>
  </si>
  <si>
    <t>4200 19 abril</t>
  </si>
  <si>
    <t>4000 19 abril</t>
  </si>
  <si>
    <t>4550 19 abril</t>
  </si>
  <si>
    <t>3410 21 abril</t>
  </si>
  <si>
    <t>1500 21 abril</t>
  </si>
  <si>
    <t>2700 21 abril</t>
  </si>
  <si>
    <t>wendy elizabeth rebolloso</t>
  </si>
  <si>
    <t>1800 28 abril</t>
  </si>
  <si>
    <t>550 23 abril</t>
  </si>
  <si>
    <t>3960 23 abril</t>
  </si>
  <si>
    <t>2350 23 abril</t>
  </si>
  <si>
    <t xml:space="preserve">p64, mantilla 042ivory, cinto 28 </t>
  </si>
  <si>
    <t>2750 23 abril</t>
  </si>
  <si>
    <t>yaritza abigail</t>
  </si>
  <si>
    <t>2300 23 abril</t>
  </si>
  <si>
    <t>1700 26 abril</t>
  </si>
  <si>
    <t xml:space="preserve">beatriz  elena garza </t>
  </si>
  <si>
    <t>p56 ivory mantilla 011, cinto 16</t>
  </si>
  <si>
    <t>1250 29 abril</t>
  </si>
  <si>
    <t>2000 30 abril</t>
  </si>
  <si>
    <t>2500 02'05</t>
  </si>
  <si>
    <t>3000 1 mayo</t>
  </si>
  <si>
    <t>2000 28 abril</t>
  </si>
  <si>
    <t>4810 7 may</t>
  </si>
  <si>
    <t>p56, mantilla 45, crinolina 6 aros</t>
  </si>
  <si>
    <t>1000 2 abril</t>
  </si>
  <si>
    <t>p38, mantilla 035 ivory</t>
  </si>
  <si>
    <t>3570 28 abril</t>
  </si>
  <si>
    <t>1530 29 abril</t>
  </si>
  <si>
    <t>500 29 abril</t>
  </si>
  <si>
    <t>2060 30 abril</t>
  </si>
  <si>
    <t>5740 30 abril</t>
  </si>
  <si>
    <t>p108</t>
  </si>
  <si>
    <t>4200 30 abril</t>
  </si>
  <si>
    <t>4150 30 nabril</t>
  </si>
  <si>
    <t>3000 30 abril</t>
  </si>
  <si>
    <t>2890 abril</t>
  </si>
  <si>
    <t>emily abigail treviño</t>
  </si>
  <si>
    <t xml:space="preserve">3240 2 may </t>
  </si>
  <si>
    <t>2000 3 may</t>
  </si>
  <si>
    <t>5000 5 may</t>
  </si>
  <si>
    <t>p86 rachel ivory , crinolina 6 aros</t>
  </si>
  <si>
    <t xml:space="preserve">nancy josefina </t>
  </si>
  <si>
    <t>4300 7 may</t>
  </si>
  <si>
    <t>yessica pamela del angel</t>
  </si>
  <si>
    <t xml:space="preserve">p99 mostrador, crinolina 3 aros </t>
  </si>
  <si>
    <t>4040 7 may</t>
  </si>
  <si>
    <t>2400  7 mayo</t>
  </si>
  <si>
    <t>norma elisa hernandez</t>
  </si>
  <si>
    <t>tati</t>
  </si>
  <si>
    <t>p113</t>
  </si>
  <si>
    <t>ana herrera</t>
  </si>
  <si>
    <t>p116</t>
  </si>
  <si>
    <t>monica lizeth garza</t>
  </si>
  <si>
    <t>agueda guadalupe hernandez</t>
  </si>
  <si>
    <t>3440 7 may</t>
  </si>
  <si>
    <t>1475 7 may</t>
  </si>
  <si>
    <t>p101 ivory con cintillas, velo con brillo y encaje, , crinolina 3 aros , tocado 43, lazo 04</t>
  </si>
  <si>
    <t>3370 7 may</t>
  </si>
  <si>
    <t>2250 9 may</t>
  </si>
  <si>
    <t>3060 9 may</t>
  </si>
  <si>
    <t>3950 11 may</t>
  </si>
  <si>
    <t>p56 blanco, mantilla 039 , cinto 016</t>
  </si>
  <si>
    <t xml:space="preserve">2000  11 may </t>
  </si>
  <si>
    <t xml:space="preserve">p33 </t>
  </si>
  <si>
    <t>3780 13 may</t>
  </si>
  <si>
    <t>5000 13 may</t>
  </si>
  <si>
    <t>1700 13 may</t>
  </si>
  <si>
    <t>ximena del angel hernandez</t>
  </si>
  <si>
    <t>p71, mantilla 035 ivory</t>
  </si>
  <si>
    <t>3700 14 may</t>
  </si>
  <si>
    <t>3100 14 may</t>
  </si>
  <si>
    <t>3000 14 may</t>
  </si>
  <si>
    <t>rosalia hernandez bautista</t>
  </si>
  <si>
    <t>nayelly berenice segovia</t>
  </si>
  <si>
    <t>luisana aracely hernandez</t>
  </si>
  <si>
    <t>1500 20 may</t>
  </si>
  <si>
    <t>2500 21'05</t>
  </si>
  <si>
    <t>1700 21'05</t>
  </si>
  <si>
    <t>4300 21'05</t>
  </si>
  <si>
    <t>3500 21'05</t>
  </si>
  <si>
    <t>p92</t>
  </si>
  <si>
    <t>4000 21 mayo</t>
  </si>
  <si>
    <t xml:space="preserve">p97, cinto 24, mantilla 012, crinolina 3 aros </t>
  </si>
  <si>
    <t>Rosa Delia Ortiz</t>
  </si>
  <si>
    <t>p107</t>
  </si>
  <si>
    <t>paola ramirez hernandezz</t>
  </si>
  <si>
    <t>karen de la rosa</t>
  </si>
  <si>
    <t>paloma paz cruz</t>
  </si>
  <si>
    <t>diciembre</t>
  </si>
  <si>
    <t>350 8 abril</t>
  </si>
  <si>
    <t xml:space="preserve">2000 28 may </t>
  </si>
  <si>
    <t>4130  20 may</t>
  </si>
  <si>
    <t>Karen salazar</t>
  </si>
  <si>
    <t>s14 blanco</t>
  </si>
  <si>
    <t>5000 16 may</t>
  </si>
  <si>
    <t>3000 15 may</t>
  </si>
  <si>
    <t xml:space="preserve">p56, mantilla 011, cinto 24, tocado 32, crinolina 6 aros </t>
  </si>
  <si>
    <t>300 18 may</t>
  </si>
  <si>
    <t>4020 19 may</t>
  </si>
  <si>
    <t>3500 19 mayo</t>
  </si>
  <si>
    <t>4500 20 may</t>
  </si>
  <si>
    <t xml:space="preserve">p33 ivory, mantilla 027 , crinolina 6, tocado 42 </t>
  </si>
  <si>
    <t>2430 21 may</t>
  </si>
  <si>
    <t>1500  21 may</t>
  </si>
  <si>
    <t xml:space="preserve">guadalupe isabel salas </t>
  </si>
  <si>
    <t xml:space="preserve">jaqueline  estefania banda </t>
  </si>
  <si>
    <t>2500 23 may</t>
  </si>
  <si>
    <t>2750 23 may</t>
  </si>
  <si>
    <t>p92 ivory, cinto 23, mantilla 27, crinolina 6 aros y velo 043</t>
  </si>
  <si>
    <t>3400 25 may</t>
  </si>
  <si>
    <t>3000 25 may</t>
  </si>
  <si>
    <t>1500 26 may</t>
  </si>
  <si>
    <t>fabiola denisse flores</t>
  </si>
  <si>
    <t>s14 mostrador</t>
  </si>
  <si>
    <t xml:space="preserve">brizeida anallely martinez </t>
  </si>
  <si>
    <t>1200 28 may</t>
  </si>
  <si>
    <t>alma delia fuentes</t>
  </si>
  <si>
    <t xml:space="preserve">p97, cinto 26 </t>
  </si>
  <si>
    <t>1330 28 may</t>
  </si>
  <si>
    <t>3680 28 may</t>
  </si>
  <si>
    <t>silvia ivette sanchez</t>
  </si>
  <si>
    <t>p99, mostrador, tiara 036, velo brillos, crinolina 3 aros</t>
  </si>
  <si>
    <t>1500  13 may</t>
  </si>
  <si>
    <t>1800 26 may</t>
  </si>
  <si>
    <t xml:space="preserve">3240jun </t>
  </si>
  <si>
    <t>1320 feb</t>
  </si>
  <si>
    <t>4500 6 may</t>
  </si>
  <si>
    <t xml:space="preserve">karla jazmin ramirez </t>
  </si>
  <si>
    <t>3000 20 may</t>
  </si>
  <si>
    <t xml:space="preserve">3440 9 jun </t>
  </si>
  <si>
    <t xml:space="preserve">2500 2 abril </t>
  </si>
  <si>
    <t>2000 15 jun</t>
  </si>
  <si>
    <t xml:space="preserve"> martha gisela martinez</t>
  </si>
  <si>
    <t>4000 30 may</t>
  </si>
  <si>
    <t>estefania alejandra gamez</t>
  </si>
  <si>
    <t>p39 ivory</t>
  </si>
  <si>
    <t>3000 1 jun</t>
  </si>
  <si>
    <t>3000 2 jun</t>
  </si>
  <si>
    <t>p1, liquidacion, cinto 26</t>
  </si>
  <si>
    <t xml:space="preserve">1800 2 jun </t>
  </si>
  <si>
    <t xml:space="preserve">esmeralda jaqueline salinas </t>
  </si>
  <si>
    <t>p92, cinto 26</t>
  </si>
  <si>
    <t>2500 3 jun</t>
  </si>
  <si>
    <t xml:space="preserve">rubi maldonado </t>
  </si>
  <si>
    <t xml:space="preserve">p33 ivory, mantilla 024, crinolina 6 aros </t>
  </si>
  <si>
    <t>4300 4 jun</t>
  </si>
  <si>
    <t>4170 4 jun</t>
  </si>
  <si>
    <t xml:space="preserve">melissa ivette mendoza </t>
  </si>
  <si>
    <t xml:space="preserve">p92   </t>
  </si>
  <si>
    <t>judith berenice cavazos</t>
  </si>
  <si>
    <t>p57 mostrador</t>
  </si>
  <si>
    <t>5107 8 jun</t>
  </si>
  <si>
    <t>3760 9 jun</t>
  </si>
  <si>
    <t>2700 9 jun</t>
  </si>
  <si>
    <t>2250  6 jun</t>
  </si>
  <si>
    <t>2880 jun</t>
  </si>
  <si>
    <t>3000 11 jun</t>
  </si>
  <si>
    <t>2700 11 jun</t>
  </si>
  <si>
    <t xml:space="preserve">p84, mantilla 045 </t>
  </si>
  <si>
    <t>1000 11 jun</t>
  </si>
  <si>
    <t xml:space="preserve">perla lopez </t>
  </si>
  <si>
    <t>erika rubi xaca</t>
  </si>
  <si>
    <t>s25</t>
  </si>
  <si>
    <t>1900 11 jun</t>
  </si>
  <si>
    <t>2820 11 juun</t>
  </si>
  <si>
    <t>p120</t>
  </si>
  <si>
    <t>morelia socorro mariscal</t>
  </si>
  <si>
    <t>jessica martinez guereca</t>
  </si>
  <si>
    <t>p114, velo 043</t>
  </si>
  <si>
    <t>2570 13 jun</t>
  </si>
  <si>
    <t>9000 13 jun</t>
  </si>
  <si>
    <t>3000 13 jun</t>
  </si>
  <si>
    <t>1030 14 jun</t>
  </si>
  <si>
    <t>3780 14 jun</t>
  </si>
  <si>
    <t>karla rocio leal</t>
  </si>
  <si>
    <t>2750 14 jun</t>
  </si>
  <si>
    <t>450014 jun</t>
  </si>
  <si>
    <t>3200 15 jun</t>
  </si>
  <si>
    <t>1500 15 jun</t>
  </si>
  <si>
    <t>5000 15 jun</t>
  </si>
  <si>
    <t>3200 16 jun</t>
  </si>
  <si>
    <t>5000 16 jun</t>
  </si>
  <si>
    <t>1050 17 jun</t>
  </si>
  <si>
    <t>6350 17 jun</t>
  </si>
  <si>
    <t>1920 17 jun</t>
  </si>
  <si>
    <t>alma isabel garza</t>
  </si>
  <si>
    <t>clarissa shayden ledezma</t>
  </si>
  <si>
    <t>1500 18 jun</t>
  </si>
  <si>
    <t>3300 18 jun</t>
  </si>
  <si>
    <t>3900 18 jun</t>
  </si>
  <si>
    <t>1620 18 jun</t>
  </si>
  <si>
    <t>p100,  mantilla 46</t>
  </si>
  <si>
    <t>p108 igual al  mostrador</t>
  </si>
  <si>
    <t>4300 21 jun</t>
  </si>
  <si>
    <t>2000 28 jun</t>
  </si>
  <si>
    <t>3000 29 jun</t>
  </si>
  <si>
    <t>7140 27 jun</t>
  </si>
  <si>
    <t>3250 21 may</t>
  </si>
  <si>
    <t>3000 23 jun</t>
  </si>
  <si>
    <t>5000 jun</t>
  </si>
  <si>
    <t>4130 27 jun</t>
  </si>
  <si>
    <t>3240 02'07</t>
  </si>
  <si>
    <t>3000 23 ju</t>
  </si>
  <si>
    <t>4000 1 ju</t>
  </si>
  <si>
    <t>p47, mantilla 039 blanco</t>
  </si>
  <si>
    <t>1200 2 jul</t>
  </si>
  <si>
    <t>3000 2 jul</t>
  </si>
  <si>
    <t>3960 25 jun</t>
  </si>
  <si>
    <t>4260 20 jun</t>
  </si>
  <si>
    <t>2450 20 jun</t>
  </si>
  <si>
    <t>erendida maribel balderas</t>
  </si>
  <si>
    <t>sin comision</t>
  </si>
  <si>
    <t>2400 23 jun</t>
  </si>
  <si>
    <t>p26 , mantilla 34</t>
  </si>
  <si>
    <t>4280 23 jun</t>
  </si>
  <si>
    <t>2000 23 jun</t>
  </si>
  <si>
    <t>rosa isabel cruz</t>
  </si>
  <si>
    <t>mayra karina hernandez</t>
  </si>
  <si>
    <t>brisia evelyn sanchez</t>
  </si>
  <si>
    <t>p67, mantilla 39ivory</t>
  </si>
  <si>
    <t>2250 27 jun</t>
  </si>
  <si>
    <t>600 9 jul</t>
  </si>
  <si>
    <t>4170 28 jun</t>
  </si>
  <si>
    <t>2250 30 jun</t>
  </si>
  <si>
    <t>2500 1 julio</t>
  </si>
  <si>
    <t>2060 1 julio¿</t>
  </si>
  <si>
    <t>750 6 jul</t>
  </si>
  <si>
    <t>9800 2 juk</t>
  </si>
  <si>
    <t>1800 2 jul</t>
  </si>
  <si>
    <t>rosalia guzman hernandez</t>
  </si>
  <si>
    <t>p68, mantilla 012,crinolina 3 aros</t>
  </si>
  <si>
    <t>elida elizabeth  pachecano trejo</t>
  </si>
  <si>
    <t>cindy lizeth guajardo</t>
  </si>
  <si>
    <t>2430 2 jul</t>
  </si>
  <si>
    <t>vestido p42</t>
  </si>
  <si>
    <t>1000 2 jul</t>
  </si>
  <si>
    <t>karla  daniela gallardo</t>
  </si>
  <si>
    <t>jaqueine bautista</t>
  </si>
  <si>
    <t>p103 ivory</t>
  </si>
  <si>
    <t>2300 4 jul</t>
  </si>
  <si>
    <t>p49 ivory, mantilla 027 icvory</t>
  </si>
  <si>
    <t>1620 8 jul</t>
  </si>
  <si>
    <t>2000 11 jul</t>
  </si>
  <si>
    <t xml:space="preserve"> isabel  cortinas</t>
  </si>
  <si>
    <t>veronica salvador</t>
  </si>
  <si>
    <t>2000 13 jul</t>
  </si>
  <si>
    <t>2700 15 jul</t>
  </si>
  <si>
    <t>1150 15 ju</t>
  </si>
  <si>
    <t>valeria monserrat miranda</t>
  </si>
  <si>
    <t>p106 mostrador m, velo 43 tocado 43</t>
  </si>
  <si>
    <t>830 6 jul</t>
  </si>
  <si>
    <t>8000 6 jul</t>
  </si>
  <si>
    <t>p53, mantilla 46, velo 25, tocado 16 crinolina 3 aros</t>
  </si>
  <si>
    <t>paola isabel aguirre</t>
  </si>
  <si>
    <t>p52 muestra, crinolina 6 aros, matilla 011, cinto 15</t>
  </si>
  <si>
    <t>p57, mantilla 039 c brillos , crinolina 3 aros</t>
  </si>
  <si>
    <t>350 9 jul</t>
  </si>
  <si>
    <t>3900 9 jul</t>
  </si>
  <si>
    <t>6700 13 jul</t>
  </si>
  <si>
    <t>3750 16 jul</t>
  </si>
  <si>
    <t xml:space="preserve">550016 jul </t>
  </si>
  <si>
    <t>3500 16 jul</t>
  </si>
  <si>
    <t>5010 16 jul</t>
  </si>
  <si>
    <t>3250 16 jul</t>
  </si>
  <si>
    <t>9100 12 jul</t>
  </si>
  <si>
    <t xml:space="preserve">p108 como mostrador, velo 43 brillos,  crinolina 3 aros </t>
  </si>
  <si>
    <t>samantha catalina</t>
  </si>
  <si>
    <t>4800 11 jul</t>
  </si>
  <si>
    <t>500  jun</t>
  </si>
  <si>
    <t>3200 13 jul</t>
  </si>
  <si>
    <t>p96, mantilla 039</t>
  </si>
  <si>
    <t>4170 11 jul</t>
  </si>
  <si>
    <t>7300 8 jul</t>
  </si>
  <si>
    <t>1100 19 jul</t>
  </si>
  <si>
    <t>3200 165 jul</t>
  </si>
  <si>
    <t>2640 2julio</t>
  </si>
  <si>
    <t>3780 12 jul</t>
  </si>
  <si>
    <t>500 22jul</t>
  </si>
  <si>
    <t>p84, mantilla 31 con brillos</t>
  </si>
  <si>
    <t>6500 15 jul</t>
  </si>
  <si>
    <t>monica liliana gutierrez</t>
  </si>
  <si>
    <t>1500 23 jul</t>
  </si>
  <si>
    <t>lizeth triana</t>
  </si>
  <si>
    <t>p28 mostrador</t>
  </si>
  <si>
    <t>2745 18 jul</t>
  </si>
  <si>
    <t>3240 18 jul</t>
  </si>
  <si>
    <t>p77 blanco, tocado 29 , cinto 24 , mantilla 48</t>
  </si>
  <si>
    <t>arely estefania castillo</t>
  </si>
  <si>
    <t xml:space="preserve">p57 </t>
  </si>
  <si>
    <t>4300 21 jul</t>
  </si>
  <si>
    <t>3900 21 jul</t>
  </si>
  <si>
    <t>1400 22 jul</t>
  </si>
  <si>
    <t>3000 jul</t>
  </si>
  <si>
    <t>32404 jul</t>
  </si>
  <si>
    <t xml:space="preserve">luz maryela perez </t>
  </si>
  <si>
    <t xml:space="preserve">p92 con manga, crino 6 aros </t>
  </si>
  <si>
    <t>2500 25 jul</t>
  </si>
  <si>
    <t>970 26 jul</t>
  </si>
  <si>
    <t>4000 26 jul</t>
  </si>
  <si>
    <t>p33, mantilla 046 ivory</t>
  </si>
  <si>
    <t>p101 muestra</t>
  </si>
  <si>
    <t>4000 27 jul</t>
  </si>
  <si>
    <t>4020 28 jul</t>
  </si>
  <si>
    <t>p47, mantilla 039</t>
  </si>
  <si>
    <t>6500 26 jul</t>
  </si>
  <si>
    <t>4130 23 jul</t>
  </si>
  <si>
    <t>4390 25 jul</t>
  </si>
  <si>
    <t>2980 25 jul</t>
  </si>
  <si>
    <t>3000 25 jull</t>
  </si>
  <si>
    <t>1850 29 jul</t>
  </si>
  <si>
    <t>3100 1agosto</t>
  </si>
  <si>
    <t>1200 0108</t>
  </si>
  <si>
    <t>2430 01'08</t>
  </si>
  <si>
    <t>lorenaabigail</t>
  </si>
  <si>
    <t>dic</t>
  </si>
  <si>
    <t>7920 2 ago</t>
  </si>
  <si>
    <t>3240 2 ago</t>
  </si>
  <si>
    <t xml:space="preserve">luisa fernanda garcia </t>
  </si>
  <si>
    <t>p85 mostrador</t>
  </si>
  <si>
    <t>4500 30 jul</t>
  </si>
  <si>
    <t>justina garcia cruz</t>
  </si>
  <si>
    <t>p111 dorado</t>
  </si>
  <si>
    <t>3o jul 22</t>
  </si>
  <si>
    <t>linda elizabeth santos</t>
  </si>
  <si>
    <t>p118</t>
  </si>
  <si>
    <t>maria guadalupe escalante</t>
  </si>
  <si>
    <t>p57, mantilla 011, crinolina 6 aros, cinto 24</t>
  </si>
  <si>
    <t>2000 3 agods</t>
  </si>
  <si>
    <t>p81 y mantilla 45 ivory</t>
  </si>
  <si>
    <t>4650 6ago</t>
  </si>
  <si>
    <t>con talla extra</t>
  </si>
  <si>
    <t>3240 23 jul</t>
  </si>
  <si>
    <t>1250 11 ago</t>
  </si>
  <si>
    <t>4170 12 ago</t>
  </si>
  <si>
    <t>4000 13 ago</t>
  </si>
  <si>
    <t>4000 15 ago</t>
  </si>
  <si>
    <t>2000 24 jun</t>
  </si>
  <si>
    <t>p93 mostrador</t>
  </si>
  <si>
    <t>2700 15 ago</t>
  </si>
  <si>
    <t>700 24 jun</t>
  </si>
  <si>
    <t>4280 23 jul</t>
  </si>
  <si>
    <t xml:space="preserve">p38 </t>
  </si>
  <si>
    <t xml:space="preserve">pagaralos dias 15 </t>
  </si>
  <si>
    <t>p116 ivory, velo 043</t>
  </si>
  <si>
    <t>7000 2 ago</t>
  </si>
  <si>
    <t>3350  3 ago</t>
  </si>
  <si>
    <t xml:space="preserve">debanhi partida eguia </t>
  </si>
  <si>
    <t xml:space="preserve">p126 muestra , mantilla 045 </t>
  </si>
  <si>
    <t>3240 4 ago</t>
  </si>
  <si>
    <t>3500 6 afgo</t>
  </si>
  <si>
    <t>4170 6 ago</t>
  </si>
  <si>
    <t>alicia janeth mascorro</t>
  </si>
  <si>
    <t>p56, mantilla 39, cinto 28, aro 6</t>
  </si>
  <si>
    <t>5000 8 ago</t>
  </si>
  <si>
    <t>12020 9 ago</t>
  </si>
  <si>
    <t>3160 1' ago0</t>
  </si>
  <si>
    <t>5610 10 ago</t>
  </si>
  <si>
    <t>490 17 ago</t>
  </si>
  <si>
    <t xml:space="preserve">6285 11 ago </t>
  </si>
  <si>
    <t xml:space="preserve">p57, mantilla 035, mantilla 046, crinolina 6 aros </t>
  </si>
  <si>
    <t>315011 ago</t>
  </si>
  <si>
    <t>4800 11 ago</t>
  </si>
  <si>
    <t>4420 12 ago</t>
  </si>
  <si>
    <t>carina hernandez lucas</t>
  </si>
  <si>
    <t xml:space="preserve">p56   </t>
  </si>
  <si>
    <t>jazmin deyanira barrera</t>
  </si>
  <si>
    <t>9500 12 ago</t>
  </si>
  <si>
    <t>p72 mostrador, mantilla 045 ivory, cinto 26</t>
  </si>
  <si>
    <t>5900 13 aqgo</t>
  </si>
  <si>
    <t>4020 13 ago</t>
  </si>
  <si>
    <t xml:space="preserve">p33, crinolina 6 aros </t>
  </si>
  <si>
    <t>500 13 ago</t>
  </si>
  <si>
    <t>5000 13 ago</t>
  </si>
  <si>
    <t>2521 13 ago</t>
  </si>
  <si>
    <t>2500 13 ago</t>
  </si>
  <si>
    <t xml:space="preserve">p114, cinto 26 </t>
  </si>
  <si>
    <t>750 13 ago</t>
  </si>
  <si>
    <t>2340 16 ago</t>
  </si>
  <si>
    <t>4500 16ago</t>
  </si>
  <si>
    <t>3500 16 ago</t>
  </si>
  <si>
    <t>3240 20 ago</t>
  </si>
  <si>
    <t>4130 20 nago</t>
  </si>
  <si>
    <t>1480 20 ago</t>
  </si>
  <si>
    <t>p57, mantilla 027 ivory</t>
  </si>
  <si>
    <t>2610 20 ago</t>
  </si>
  <si>
    <t>3900 20 ago</t>
  </si>
  <si>
    <t>2835 20 ago</t>
  </si>
  <si>
    <t>300 20 ago</t>
  </si>
  <si>
    <t>martha isela picazo</t>
  </si>
  <si>
    <t>p104, mantilla 039 ivory</t>
  </si>
  <si>
    <t xml:space="preserve">500 22 ago </t>
  </si>
  <si>
    <t>2940 23 ago</t>
  </si>
  <si>
    <t>4300 23 ago</t>
  </si>
  <si>
    <t>6480 18 ago</t>
  </si>
  <si>
    <t>ana gabriela cantu</t>
  </si>
  <si>
    <t>1950 27 ago</t>
  </si>
  <si>
    <t xml:space="preserve">rashel  p86 mostrador  </t>
  </si>
  <si>
    <t>2500 27 ago</t>
  </si>
  <si>
    <t>100 27 ago</t>
  </si>
  <si>
    <t>2700 31 ago</t>
  </si>
  <si>
    <t>3887 30 ago</t>
  </si>
  <si>
    <t>4780 2 sep</t>
  </si>
  <si>
    <t>1000 30 sago</t>
  </si>
  <si>
    <t>3250 25 ago</t>
  </si>
  <si>
    <t>5650 25 ago</t>
  </si>
  <si>
    <t>3000 25 ago</t>
  </si>
  <si>
    <t xml:space="preserve">blanca yesena garcia </t>
  </si>
  <si>
    <t>p105, tocado 30, mantilla 039</t>
  </si>
  <si>
    <t>4130 29 ago</t>
  </si>
  <si>
    <t>3800 29 ago</t>
  </si>
  <si>
    <t>3000 29 ago</t>
  </si>
  <si>
    <t>10000 29 ago</t>
  </si>
  <si>
    <t xml:space="preserve">1200 30 ago </t>
  </si>
  <si>
    <t>falta liquidar aro 400</t>
  </si>
  <si>
    <t>p115 ivory, mantilla 34, cinto 27</t>
  </si>
  <si>
    <t>adiely treviño moreno</t>
  </si>
  <si>
    <t>2000 2 sep</t>
  </si>
  <si>
    <t>yamilet mora cortes</t>
  </si>
  <si>
    <t>p71 muestra , mantilla 022</t>
  </si>
  <si>
    <t>8000 3 sep</t>
  </si>
  <si>
    <t>2700 3 sep</t>
  </si>
  <si>
    <t>1850 3 sep</t>
  </si>
  <si>
    <t>3240 3 sep</t>
  </si>
  <si>
    <t>emma serna</t>
  </si>
  <si>
    <t>1240 5 sep</t>
  </si>
  <si>
    <t>280 6 sep</t>
  </si>
  <si>
    <t>p98, cinto 27</t>
  </si>
  <si>
    <t xml:space="preserve">1445 8 sep </t>
  </si>
  <si>
    <t>p98 ivory, mantilla 011, cinto 20, crinolina</t>
  </si>
  <si>
    <t>4170 8 sep</t>
  </si>
  <si>
    <t>solo faltan 1000  de mantilla</t>
  </si>
  <si>
    <t>p92, crinolina 6 aros</t>
  </si>
  <si>
    <t>3000 9 sep</t>
  </si>
  <si>
    <t>3920 10 sep</t>
  </si>
  <si>
    <t>2530 10 sep</t>
  </si>
  <si>
    <t>5700 10'09</t>
  </si>
  <si>
    <t>Isabel Martinez</t>
  </si>
  <si>
    <t>p56, Mntilla 011, crinolina 6, cinto 17</t>
  </si>
  <si>
    <t>4770 10 sep</t>
  </si>
  <si>
    <t>4240 11jun</t>
  </si>
  <si>
    <t>4500  ago</t>
  </si>
  <si>
    <t>4000 25ago</t>
  </si>
  <si>
    <t>1370 18jul</t>
  </si>
  <si>
    <t>p95 mostrador, velo 043 brillos</t>
  </si>
  <si>
    <t>2000 9 sep</t>
  </si>
  <si>
    <t>p107 blanco, mantilla 016 , crin 3 aros</t>
  </si>
  <si>
    <t>500 10 sep</t>
  </si>
  <si>
    <t>5000 12 sep</t>
  </si>
  <si>
    <t>5880 12 sep</t>
  </si>
  <si>
    <t>dara pago dia 15</t>
  </si>
  <si>
    <t>2500 13 sep</t>
  </si>
  <si>
    <t>8670 13 sep</t>
  </si>
  <si>
    <t>mantilla liquidada 2100</t>
  </si>
  <si>
    <t>p56 ivory , mantilla 039, crinolina 6 aros</t>
  </si>
  <si>
    <t xml:space="preserve">1700 14 sep </t>
  </si>
  <si>
    <t>pago crinolina 6 aros</t>
  </si>
  <si>
    <t>Vivian Andrea Valdez</t>
  </si>
  <si>
    <t>4000 17 sep</t>
  </si>
  <si>
    <t>2000 17 sep</t>
  </si>
  <si>
    <t>Margarita Silverio</t>
  </si>
  <si>
    <t>p59, crinolina 3 aros</t>
  </si>
  <si>
    <t>350 17 sep</t>
  </si>
  <si>
    <t>2300 17 sep</t>
  </si>
  <si>
    <t>6000 17 sep</t>
  </si>
  <si>
    <t>p53, mantilla 011,cinto 16</t>
  </si>
  <si>
    <t>4680 19 sep</t>
  </si>
  <si>
    <t>3000 19 sep</t>
  </si>
  <si>
    <t>p106, velo 43</t>
  </si>
  <si>
    <t>Jade Marin Mauricio</t>
  </si>
  <si>
    <t>p116, mantilla 039, crinolina 6 aros</t>
  </si>
  <si>
    <t>4300 20 sep</t>
  </si>
  <si>
    <t>2500 21 sep</t>
  </si>
  <si>
    <t>3900 21 sep</t>
  </si>
  <si>
    <t>22 sep 720</t>
  </si>
  <si>
    <t>pagó hotel</t>
  </si>
  <si>
    <t>5000 24 sept</t>
  </si>
  <si>
    <t>Yesica Cuevas Victoriano</t>
  </si>
  <si>
    <t>Erika Yazmin Rodriguez</t>
  </si>
  <si>
    <t>Abigail Aguilar García</t>
  </si>
  <si>
    <t>p102, mantilla 22</t>
  </si>
  <si>
    <t>1360 24 sep</t>
  </si>
  <si>
    <t>3800 23 sept</t>
  </si>
  <si>
    <t>4170 26 sep</t>
  </si>
  <si>
    <t>3500 26 sep</t>
  </si>
  <si>
    <t>2040 28 sep</t>
  </si>
  <si>
    <t>Leslie Rodriguez</t>
  </si>
  <si>
    <t>Ana</t>
  </si>
  <si>
    <t>ana</t>
  </si>
  <si>
    <t>9200 30 de sept</t>
  </si>
  <si>
    <t>Karla Brisset Bocanegra</t>
  </si>
  <si>
    <t>3300 30 sep</t>
  </si>
  <si>
    <t>4000 30 sep</t>
  </si>
  <si>
    <t>2530 01'10</t>
  </si>
  <si>
    <t>11663  1 oct</t>
  </si>
  <si>
    <t>Adriana Torres Mendoza</t>
  </si>
  <si>
    <t>p99, mantilla 16</t>
  </si>
  <si>
    <t>4500 1 OCT</t>
  </si>
  <si>
    <t>3240 3 oct</t>
  </si>
  <si>
    <t>5034 14 sep</t>
  </si>
  <si>
    <t>4966 4 oct</t>
  </si>
  <si>
    <t>2700 6 oct</t>
  </si>
  <si>
    <t>Lucero Cisneros Aguirre</t>
  </si>
  <si>
    <t>p97</t>
  </si>
  <si>
    <t>anna</t>
  </si>
  <si>
    <t>p94,MANTILLA 041</t>
  </si>
  <si>
    <t>Arely Yamilet Hinojosa</t>
  </si>
  <si>
    <t>p36,mantilla 46, crinolina6 aros</t>
  </si>
  <si>
    <t>FECHA  BODA</t>
  </si>
  <si>
    <t>Lilibeth López Andrade</t>
  </si>
  <si>
    <t>4440 11 oct</t>
  </si>
  <si>
    <t>5325 11 oct</t>
  </si>
  <si>
    <t>4800  11sept</t>
  </si>
  <si>
    <t>4800 11 0ct</t>
  </si>
  <si>
    <t>Belinda Treviño</t>
  </si>
  <si>
    <t>p92,crnolina 6 aros</t>
  </si>
  <si>
    <t>Alma Irene Mota</t>
  </si>
  <si>
    <t>p99</t>
  </si>
  <si>
    <t>valeria medrano Valdéz</t>
  </si>
  <si>
    <t>p98</t>
  </si>
  <si>
    <t>5000  14 oct</t>
  </si>
  <si>
    <t>2000 14 oct</t>
  </si>
  <si>
    <t>3000 15 oct</t>
  </si>
  <si>
    <t>Katia Silva Esquivel</t>
  </si>
  <si>
    <t>p111, mantilla 039, crinolina 6</t>
  </si>
  <si>
    <t>2700 15  sept</t>
  </si>
  <si>
    <t>Janeth Guadalupe</t>
  </si>
  <si>
    <t>Jaquelinne Santiago</t>
  </si>
  <si>
    <t>Ana Elizabeth Sosa</t>
  </si>
  <si>
    <t>p109, mantilla 027</t>
  </si>
  <si>
    <t>4100 20 oct</t>
  </si>
  <si>
    <t>p52 ivory,mantilla 003, crinolina 6 aros</t>
  </si>
  <si>
    <t>restan 1380</t>
  </si>
  <si>
    <t>19 oct 920</t>
  </si>
  <si>
    <t>p77,cinto 96, mantilla lentejuelas</t>
  </si>
  <si>
    <t>5000 22 oct</t>
  </si>
  <si>
    <t>3050 22 oct</t>
  </si>
  <si>
    <t>4220 22 oct</t>
  </si>
  <si>
    <t>2500 22oct</t>
  </si>
  <si>
    <t>Salma Villarreal</t>
  </si>
  <si>
    <t>p67, mantilla 48, crinolina 6, tiara 46</t>
  </si>
  <si>
    <t>3700 22 oct</t>
  </si>
  <si>
    <t>10000 22 oct</t>
  </si>
  <si>
    <t>3000 22 oct</t>
  </si>
  <si>
    <t>1700 24 oct</t>
  </si>
  <si>
    <t>Mayra Daniela Montoya</t>
  </si>
  <si>
    <t>p129</t>
  </si>
  <si>
    <t>Bere</t>
  </si>
  <si>
    <t>5000 24 oct</t>
  </si>
  <si>
    <t>2500 15 sept</t>
  </si>
  <si>
    <t>4700 25 oct</t>
  </si>
  <si>
    <t>4000 26/09/2022</t>
  </si>
  <si>
    <t>500 1 oct</t>
  </si>
  <si>
    <t>3000 29 oct</t>
  </si>
  <si>
    <t>4650 29'10</t>
  </si>
  <si>
    <t>5000 20 oct</t>
  </si>
  <si>
    <t>3700 29 oct</t>
  </si>
  <si>
    <t>29 0ct 22</t>
  </si>
  <si>
    <t>Liliana De la cruz</t>
  </si>
  <si>
    <t>5400 31 oct</t>
  </si>
  <si>
    <t>Samantha Bermea</t>
  </si>
  <si>
    <t>3500 31 oct</t>
  </si>
  <si>
    <t>Fecha</t>
  </si>
  <si>
    <t>Nombre</t>
  </si>
  <si>
    <t>Vestido</t>
  </si>
  <si>
    <t>Anticípo</t>
  </si>
  <si>
    <t>Pago</t>
  </si>
  <si>
    <t>Pago2</t>
  </si>
  <si>
    <t>Pago3</t>
  </si>
  <si>
    <t>Pago4</t>
  </si>
  <si>
    <t>Total</t>
  </si>
  <si>
    <t>Karla Elisa Martínez</t>
  </si>
  <si>
    <t>S14</t>
  </si>
  <si>
    <t>3000 5 nov</t>
  </si>
  <si>
    <t>2340 5 nov</t>
  </si>
  <si>
    <t>Miriam Limón</t>
  </si>
  <si>
    <t>3240 5 nov</t>
  </si>
  <si>
    <t>Natalia Hernandez</t>
  </si>
  <si>
    <t>Teodora Reyes</t>
  </si>
  <si>
    <t>4000 31 oct</t>
  </si>
  <si>
    <t>P46</t>
  </si>
  <si>
    <t>2000 14 nov</t>
  </si>
  <si>
    <t>Paola Tovar</t>
  </si>
  <si>
    <t>Priscila García</t>
  </si>
  <si>
    <t>p81</t>
  </si>
  <si>
    <t>Jazmin Velazquez</t>
  </si>
  <si>
    <t>p89</t>
  </si>
  <si>
    <t>Brenda Araujo</t>
  </si>
  <si>
    <t>13300 15 nov</t>
  </si>
  <si>
    <t>Daniela Gozalez</t>
  </si>
  <si>
    <t>2550 19 nov</t>
  </si>
  <si>
    <t>Lucía Rdz Elizondo</t>
  </si>
  <si>
    <t>1370 22 oct</t>
  </si>
  <si>
    <t>1700 22 nov</t>
  </si>
  <si>
    <t>2430 22 nov</t>
  </si>
  <si>
    <t>ANTICIPO</t>
  </si>
  <si>
    <t>4000 22 NOV</t>
  </si>
  <si>
    <t>Alondra Lucio</t>
  </si>
  <si>
    <t>Delmy Patraca</t>
  </si>
  <si>
    <t>4700 23 nov</t>
  </si>
  <si>
    <t>1660 23 nov</t>
  </si>
  <si>
    <t>1150 24 nov</t>
  </si>
  <si>
    <t>4200 15nov</t>
  </si>
  <si>
    <t>1620 7 nov</t>
  </si>
  <si>
    <t>3000 7 nov</t>
  </si>
  <si>
    <t>2500 26-11</t>
  </si>
  <si>
    <t>2835 29 nov</t>
  </si>
  <si>
    <t>3400 29 nov</t>
  </si>
  <si>
    <t>3500 30 nov</t>
  </si>
  <si>
    <t>Silvia Mayela García</t>
  </si>
  <si>
    <t xml:space="preserve">6000 30 nov </t>
  </si>
  <si>
    <t>2000 1 dic</t>
  </si>
  <si>
    <t>1000 2 dic</t>
  </si>
  <si>
    <t>5800 2 dic</t>
  </si>
  <si>
    <t>Anticipo</t>
  </si>
  <si>
    <t>Pago 1</t>
  </si>
  <si>
    <t>Pago 2</t>
  </si>
  <si>
    <t>Pago 3</t>
  </si>
  <si>
    <t>Pago 4</t>
  </si>
  <si>
    <t>Julia Barrios</t>
  </si>
  <si>
    <t>P56, mantilla 39</t>
  </si>
  <si>
    <t>p130, mantilla 21, crinolina 3 aros</t>
  </si>
  <si>
    <t>3000 3 dic</t>
  </si>
  <si>
    <t>7650 3 dic</t>
  </si>
  <si>
    <t>P36, velo perlas, tiara 22, crinolina 3</t>
  </si>
  <si>
    <t>2500 5 dic</t>
  </si>
  <si>
    <t>10000 05'12</t>
  </si>
  <si>
    <t>1620 7 dic</t>
  </si>
  <si>
    <t>Irlanda Aguirre</t>
  </si>
  <si>
    <t>P107, Cinto 15, Mantilla 39</t>
  </si>
  <si>
    <t>4000 05 dic</t>
  </si>
  <si>
    <t>3000 8'12</t>
  </si>
  <si>
    <t>9000 9 dic</t>
  </si>
  <si>
    <t>Sofía Benavides</t>
  </si>
  <si>
    <t>3500 5 dic</t>
  </si>
  <si>
    <t>2000 9 dic</t>
  </si>
  <si>
    <t xml:space="preserve">    </t>
  </si>
  <si>
    <t>3240 10 dci</t>
  </si>
  <si>
    <t>9000 12 dic</t>
  </si>
  <si>
    <t>Erika Chantal</t>
  </si>
  <si>
    <t>Kn Diana + envío</t>
  </si>
  <si>
    <t>p112</t>
  </si>
  <si>
    <t>Arlette Aguilera</t>
  </si>
  <si>
    <t>2500 13 dic</t>
  </si>
  <si>
    <t>2530 17 dic</t>
  </si>
  <si>
    <t>4200 19 dic</t>
  </si>
  <si>
    <t>Fernanda Chavez García</t>
  </si>
  <si>
    <t>p32, mantilla 045, crinolina 3 aros, cinto 27</t>
  </si>
  <si>
    <t>Lyris Barrios</t>
  </si>
  <si>
    <t>Diana Hernandez Rivera</t>
  </si>
  <si>
    <t>3060  19 dic</t>
  </si>
  <si>
    <t>2700 21 dic</t>
  </si>
  <si>
    <t>2790 21 dic</t>
  </si>
  <si>
    <t>Ruby Lopez</t>
  </si>
  <si>
    <t>p68</t>
  </si>
  <si>
    <t>2430 22 dic</t>
  </si>
  <si>
    <t>1040 22 dic</t>
  </si>
  <si>
    <t>1700 22 dic</t>
  </si>
  <si>
    <t>p120, mantill 039, CRINOLINA 3 AROS</t>
  </si>
  <si>
    <t>Alejandra Segura</t>
  </si>
  <si>
    <t>Susy Neri</t>
  </si>
  <si>
    <t>p103, envio</t>
  </si>
  <si>
    <t>4050 28 dic</t>
  </si>
  <si>
    <t>1700 26 dic</t>
  </si>
  <si>
    <t>3500 3 enero</t>
  </si>
  <si>
    <t>3500 2 enero</t>
  </si>
  <si>
    <t>2000 2 enero</t>
  </si>
  <si>
    <t>3900 2 enero</t>
  </si>
  <si>
    <t>5700 3 enero</t>
  </si>
  <si>
    <t>2400 4 enero</t>
  </si>
  <si>
    <t>4 PAGO</t>
  </si>
  <si>
    <t>2530 7enero</t>
  </si>
  <si>
    <t>3000 7 dic</t>
  </si>
  <si>
    <t>Karen A Martinez</t>
  </si>
  <si>
    <t>Evany Martel</t>
  </si>
  <si>
    <t>1620 7 enero</t>
  </si>
  <si>
    <t>Devany Verber</t>
  </si>
  <si>
    <t>Gabriela Guerra</t>
  </si>
  <si>
    <t>2790 12 enero</t>
  </si>
  <si>
    <t>3000 7 enero</t>
  </si>
  <si>
    <t>3000 22 dic</t>
  </si>
  <si>
    <t>6000 13 enero</t>
  </si>
  <si>
    <t>Nallely Sánchez</t>
  </si>
  <si>
    <t>3780 13 enero</t>
  </si>
  <si>
    <t>Alondra Guajardo</t>
  </si>
  <si>
    <t>Naydelin Cárdenas</t>
  </si>
  <si>
    <t>4650 7 dic</t>
  </si>
  <si>
    <t>4650 14 enero</t>
  </si>
  <si>
    <t>2340 14 enero</t>
  </si>
  <si>
    <t>1000 7 enero</t>
  </si>
  <si>
    <t>3130 14 enero</t>
  </si>
  <si>
    <t>Georgina Valdéz</t>
  </si>
  <si>
    <t>a12 talla extra</t>
  </si>
  <si>
    <t>5000 17 enero</t>
  </si>
  <si>
    <t>p53, mantilla 011, porta</t>
  </si>
  <si>
    <t>4020 17 enero</t>
  </si>
  <si>
    <t>3000 18 enero</t>
  </si>
  <si>
    <t>5050 21 enero</t>
  </si>
  <si>
    <t>4155 21 enero</t>
  </si>
  <si>
    <t>Metzli Natera</t>
  </si>
  <si>
    <t>p130</t>
  </si>
  <si>
    <t>7500 21 ENERO</t>
  </si>
  <si>
    <t>P126, ENVÍO</t>
  </si>
  <si>
    <t>2340 23 enero</t>
  </si>
  <si>
    <t>3200 24 enero</t>
  </si>
  <si>
    <t>karen Rubí López</t>
  </si>
  <si>
    <t>Columna1</t>
  </si>
  <si>
    <t>Sthephani Quinteri</t>
  </si>
  <si>
    <t>p123+ envio</t>
  </si>
  <si>
    <t>p71, mantilla 039</t>
  </si>
  <si>
    <t>9180 28 enero</t>
  </si>
  <si>
    <t>Corina Jimenez</t>
  </si>
  <si>
    <t>p129, mantilla 16, tiara 46, crinolina 3 aros</t>
  </si>
  <si>
    <t>3760 31 enero</t>
  </si>
  <si>
    <t>3900 31 enero</t>
  </si>
  <si>
    <t>p42, talla extra</t>
  </si>
  <si>
    <t>p129, velo corto</t>
  </si>
  <si>
    <t>4050 1 feb</t>
  </si>
  <si>
    <t>2310 4 feb</t>
  </si>
  <si>
    <t>Modelo</t>
  </si>
  <si>
    <t>Liliana González</t>
  </si>
  <si>
    <t>p123+envío</t>
  </si>
  <si>
    <t>6000 4 feb</t>
  </si>
  <si>
    <t>5444 7 feb</t>
  </si>
  <si>
    <t>p128,velo 043, crin tul, crin 6 aros</t>
  </si>
  <si>
    <t>Carolina Armijo</t>
  </si>
  <si>
    <t>Diana KN+ envío</t>
  </si>
  <si>
    <t>Mayra Nelly Torres</t>
  </si>
  <si>
    <t>3060 16 enero</t>
  </si>
  <si>
    <t>4650 7 feb</t>
  </si>
  <si>
    <t>2340 8 feb</t>
  </si>
  <si>
    <t>3000 11 feb</t>
  </si>
  <si>
    <t>Leslie Valeria Perez</t>
  </si>
  <si>
    <t>Kn Margo, Tiara44, crinolina 6 aros</t>
  </si>
  <si>
    <t>4000 11 feb</t>
  </si>
  <si>
    <t>Blanca Edith Niño</t>
  </si>
  <si>
    <t>Diana KN+ envío+ talla extra</t>
  </si>
  <si>
    <t>Alicia Reyna Sanchez</t>
  </si>
  <si>
    <t>p128 muestra, velo 043, crinolina 6</t>
  </si>
  <si>
    <t>5260 13 feb</t>
  </si>
  <si>
    <t>Karina Stephanie Sierra</t>
  </si>
  <si>
    <t>Itzel Toto Promotor</t>
  </si>
  <si>
    <t>p67, crinolina 3, velo 48</t>
  </si>
  <si>
    <t>Amisadai Toto Promotor</t>
  </si>
  <si>
    <t>p36 con cola, crinolina 3, velo 48</t>
  </si>
  <si>
    <t>3780 13 feb</t>
  </si>
  <si>
    <t>1620 13 feb</t>
  </si>
  <si>
    <t>1664 14 feb</t>
  </si>
  <si>
    <t>3020 16 nero</t>
  </si>
  <si>
    <t>p57, crinolina 6</t>
  </si>
  <si>
    <t>2040 14 feb</t>
  </si>
  <si>
    <t>2430 15 feb</t>
  </si>
  <si>
    <t>4000 17 feb</t>
  </si>
  <si>
    <t>4020 17 feb</t>
  </si>
  <si>
    <t>2528 18 feb</t>
  </si>
  <si>
    <t>Rosa Delia Alonso</t>
  </si>
  <si>
    <t>3000 21 enero</t>
  </si>
  <si>
    <t>,</t>
  </si>
  <si>
    <t>1000 16 feb</t>
  </si>
  <si>
    <t>7020 18 feb</t>
  </si>
  <si>
    <t>3200 18 feb</t>
  </si>
  <si>
    <t>3240 18 feb</t>
  </si>
  <si>
    <t>Nallely Leos</t>
  </si>
  <si>
    <t>3780 21 feb</t>
  </si>
  <si>
    <t>Celeste Romero</t>
  </si>
  <si>
    <t>5340 22 feb</t>
  </si>
  <si>
    <t>1700 22 feb</t>
  </si>
  <si>
    <t>5000 23 feb</t>
  </si>
  <si>
    <t xml:space="preserve"> 3645 23 feb</t>
  </si>
  <si>
    <t>3000 23 feb</t>
  </si>
  <si>
    <t>p26, crinolina 3 aros</t>
  </si>
  <si>
    <t>Claudia González</t>
  </si>
  <si>
    <t>6000 24 feb</t>
  </si>
  <si>
    <t>3240 25 feb</t>
  </si>
  <si>
    <t>Hanwool Lee</t>
  </si>
  <si>
    <t>Verónica Hernandez</t>
  </si>
  <si>
    <t>P95</t>
  </si>
  <si>
    <t>3100  7 febrero</t>
  </si>
  <si>
    <t>4920 25 feb</t>
  </si>
  <si>
    <t>Columna2</t>
  </si>
  <si>
    <t>3240 27'02</t>
  </si>
  <si>
    <t>1220 27 feb</t>
  </si>
  <si>
    <t>2340 27'02</t>
  </si>
  <si>
    <t>485 28 feb</t>
  </si>
  <si>
    <t>875 transfer</t>
  </si>
  <si>
    <t xml:space="preserve"> diana Rebeca Gallardo</t>
  </si>
  <si>
    <t>2840 11 feb</t>
  </si>
  <si>
    <t>Liquida en junio, se quitó descuento</t>
  </si>
  <si>
    <t>Teléfono</t>
  </si>
  <si>
    <t>Karla Giovana Bernal</t>
  </si>
  <si>
    <t>Karina Guadalupe García</t>
  </si>
  <si>
    <t>3340 21 feb</t>
  </si>
  <si>
    <t>1380 21 dic</t>
  </si>
  <si>
    <t>2430 4 marzo</t>
  </si>
  <si>
    <t>6000 3 marzo</t>
  </si>
  <si>
    <t>3100 3 marzo</t>
  </si>
  <si>
    <t>Edith Cárdenas</t>
  </si>
  <si>
    <t>Paola Ortíz</t>
  </si>
  <si>
    <t>4800 4 marzo</t>
  </si>
  <si>
    <t>Alejandra Loera</t>
  </si>
  <si>
    <t>P89, crinolina 3 aros</t>
  </si>
  <si>
    <t>p51, crinolina 6 aros</t>
  </si>
  <si>
    <t>pendiente</t>
  </si>
  <si>
    <t>2340 7 marzo</t>
  </si>
  <si>
    <t>11756 22 feb</t>
  </si>
  <si>
    <t>p129,crinolina 6 aros</t>
  </si>
  <si>
    <t>800 9 marzo</t>
  </si>
  <si>
    <t>3000 10 marzo</t>
  </si>
  <si>
    <t>Laura Margarita Reyes</t>
  </si>
  <si>
    <t>Lizeth Valero</t>
  </si>
  <si>
    <t>p133, crinolina 6, velo 043</t>
  </si>
  <si>
    <t>Ana Laura Vega</t>
  </si>
  <si>
    <t>p108, crinolina 6</t>
  </si>
  <si>
    <t>Alfa Gisell Carmona</t>
  </si>
  <si>
    <t>p46, crinolina 6</t>
  </si>
  <si>
    <t>4900 11 marzo</t>
  </si>
  <si>
    <t>Bianca Piña</t>
  </si>
  <si>
    <t>Diana kn muestra, crinolina 6</t>
  </si>
  <si>
    <t>p77, crinolina 3, mantilla 011, cinto 16, tiara 31</t>
  </si>
  <si>
    <t>2040 13 mar</t>
  </si>
  <si>
    <t>2770 13 marzo</t>
  </si>
  <si>
    <t>2500 13 marzo</t>
  </si>
  <si>
    <t>7200 13 marzo</t>
  </si>
  <si>
    <t>pagó marzo y abril</t>
  </si>
  <si>
    <t>kn margo,envío</t>
  </si>
  <si>
    <t>1664 14 marzo</t>
  </si>
  <si>
    <t>Lorena Torres</t>
  </si>
  <si>
    <t>p42, mantilla 039</t>
  </si>
  <si>
    <t>5260 15 marzo</t>
  </si>
  <si>
    <t>6000 15 marz</t>
  </si>
  <si>
    <t>3500 25 feb</t>
  </si>
  <si>
    <t>1000 16 marzo</t>
  </si>
  <si>
    <t>Daniela Mariel Garza</t>
  </si>
  <si>
    <t>p57, mantilla 47, crinolina 6</t>
  </si>
  <si>
    <t>3720 18 marzo</t>
  </si>
  <si>
    <t>3430 18 mar</t>
  </si>
  <si>
    <t>p57, mantilla 013, crinolina 3 aros</t>
  </si>
  <si>
    <t>1100 18 mar</t>
  </si>
  <si>
    <t>p119</t>
  </si>
  <si>
    <t>Aracely García</t>
  </si>
  <si>
    <t>Juana Martínez Mateo</t>
  </si>
  <si>
    <t>Liliana Sandoval</t>
  </si>
  <si>
    <t>7200 21 marz</t>
  </si>
  <si>
    <t>3040 21 mar</t>
  </si>
  <si>
    <t>Columna3</t>
  </si>
  <si>
    <t>Pagó marzo y abril</t>
  </si>
  <si>
    <t>Columna4</t>
  </si>
  <si>
    <t>4920 21 mar</t>
  </si>
  <si>
    <t>3000 18 mar</t>
  </si>
  <si>
    <t>3240 22 mar</t>
  </si>
  <si>
    <t>3340 22 mar</t>
  </si>
  <si>
    <t>Norma Torres</t>
  </si>
  <si>
    <t>p112 muestra, crinolina 6, tiara 026</t>
  </si>
  <si>
    <t>3450 18 mar</t>
  </si>
  <si>
    <t>3000 23 marz</t>
  </si>
  <si>
    <t>2000 25 mar</t>
  </si>
  <si>
    <t>p36, crinolina 3</t>
  </si>
  <si>
    <t>1700 25 marzo</t>
  </si>
  <si>
    <t>1665 25 mar</t>
  </si>
  <si>
    <t>5500 25 marz</t>
  </si>
  <si>
    <t>Ana+D4K5A4:N5A5:N5</t>
  </si>
  <si>
    <t>p46, velo liso corto, tiara 003, crinolina 6</t>
  </si>
  <si>
    <t>5400 25 marz</t>
  </si>
  <si>
    <t>6000 23 marz</t>
  </si>
  <si>
    <t>2840 28 mar</t>
  </si>
  <si>
    <t>Daniela Arriaga</t>
  </si>
  <si>
    <t>1340 27 mar</t>
  </si>
  <si>
    <t>3645 27 mar</t>
  </si>
  <si>
    <t>Ana Cecilia Garcìa</t>
  </si>
  <si>
    <t>p97 muestra</t>
  </si>
  <si>
    <t>1220 27 mar</t>
  </si>
  <si>
    <t>1740 28 enero</t>
  </si>
  <si>
    <t>s25,velo perlas, crinolina sirena</t>
  </si>
  <si>
    <t>1 abril 560</t>
  </si>
  <si>
    <t>3100 1 abril</t>
  </si>
  <si>
    <t>Nallely Obregón</t>
  </si>
  <si>
    <t>3000 7 abril</t>
  </si>
  <si>
    <t>Gaby Sanchez</t>
  </si>
  <si>
    <t>2430 7 abril</t>
  </si>
  <si>
    <t>1140 10 abril</t>
  </si>
  <si>
    <t>3760 10 abril</t>
  </si>
  <si>
    <t>Producto</t>
  </si>
  <si>
    <t xml:space="preserve">Telefono </t>
  </si>
  <si>
    <t>Maria Luisa Castillo</t>
  </si>
  <si>
    <t>Yessenia lòpez</t>
  </si>
  <si>
    <t>p128,crinolina 6</t>
  </si>
  <si>
    <t>4000 11 abril</t>
  </si>
  <si>
    <t xml:space="preserve">4900 11 abril </t>
  </si>
  <si>
    <t>3500 11 abril</t>
  </si>
  <si>
    <t>4800 11 abril</t>
  </si>
  <si>
    <t>3240 13 abril</t>
  </si>
  <si>
    <t>3580 13 abril</t>
  </si>
  <si>
    <t>320 24 feb</t>
  </si>
  <si>
    <t>5000 13 abril</t>
  </si>
  <si>
    <t>2770 13 abril</t>
  </si>
  <si>
    <t>2500 13 abril</t>
  </si>
  <si>
    <t>3200 14 abril</t>
  </si>
  <si>
    <t>5260 14 abril</t>
  </si>
  <si>
    <t>6040 14 abril</t>
  </si>
  <si>
    <t>3800 15 abril</t>
  </si>
  <si>
    <t>3500 15 abril</t>
  </si>
  <si>
    <t>5000 15 abril</t>
  </si>
  <si>
    <t>4800 15 abril</t>
  </si>
  <si>
    <t>3070 15 abril</t>
  </si>
  <si>
    <t>p59,mantilla 048,porta</t>
  </si>
  <si>
    <t>3860 15 abril</t>
  </si>
  <si>
    <t>3360 15 abril</t>
  </si>
  <si>
    <t>1664 15 abril</t>
  </si>
  <si>
    <t>3600 17 abril</t>
  </si>
  <si>
    <t>Lucero Bautista</t>
  </si>
  <si>
    <t>3240 18 abril</t>
  </si>
  <si>
    <t>4080 18 abril</t>
  </si>
  <si>
    <t>p100 crinolin+K12+D12:L14+D12:D12:M12</t>
  </si>
  <si>
    <t>2430 2 abril</t>
  </si>
  <si>
    <t>2300 21 abril</t>
  </si>
  <si>
    <t>7000 22 abril</t>
  </si>
  <si>
    <t>6000 22 abril</t>
  </si>
  <si>
    <t>Mileydi Fernandez</t>
  </si>
  <si>
    <t>3340 24 abril</t>
  </si>
  <si>
    <t>900 24 abril</t>
  </si>
  <si>
    <t>600 crinolina</t>
  </si>
  <si>
    <t>Monica Cruz</t>
  </si>
  <si>
    <t>p123</t>
  </si>
  <si>
    <t>2000 25 04</t>
  </si>
  <si>
    <t>3000 25-04</t>
  </si>
  <si>
    <t>5000 25-04</t>
  </si>
  <si>
    <t>5680 25 -04</t>
  </si>
  <si>
    <t>6000 25 abril</t>
  </si>
  <si>
    <t>1220 26 abril</t>
  </si>
  <si>
    <t>Katya Leal</t>
  </si>
  <si>
    <t>p128, envio</t>
  </si>
  <si>
    <t>Pago 5</t>
  </si>
  <si>
    <t>x</t>
  </si>
  <si>
    <t>p133, mantilla 039,crinolina 6</t>
  </si>
  <si>
    <t>3500 28 abril</t>
  </si>
  <si>
    <t>Katia Aleman</t>
  </si>
  <si>
    <t>kn Angela, crinolina 3</t>
  </si>
  <si>
    <t>3500 29 abril</t>
  </si>
  <si>
    <t>Genzi Aguilar</t>
  </si>
  <si>
    <t>Sandra Navarro</t>
  </si>
  <si>
    <t>p133</t>
  </si>
  <si>
    <t>3000 29 abril</t>
  </si>
  <si>
    <t>Telefono</t>
  </si>
  <si>
    <t>3780 29 abril</t>
  </si>
  <si>
    <t>s24 Lanesta muestra - crin srena</t>
  </si>
  <si>
    <t>5150 2 mayo</t>
  </si>
  <si>
    <t>Isela Ortiz</t>
  </si>
  <si>
    <t>kn Angela, crinolina 6</t>
  </si>
  <si>
    <t>Sugey Rojas</t>
  </si>
  <si>
    <t>p133, crinolina 6</t>
  </si>
  <si>
    <t>6000 7 abril</t>
  </si>
  <si>
    <t>3760 06 mayo</t>
  </si>
  <si>
    <t>2430 06 mayo</t>
  </si>
  <si>
    <t>6000 06 mayo</t>
  </si>
  <si>
    <t>3850 06 may0</t>
  </si>
  <si>
    <t>Celia Peniche</t>
  </si>
  <si>
    <t>3580 08 mayo</t>
  </si>
  <si>
    <t>Sthepania Pinto</t>
  </si>
  <si>
    <t>Isamar Guerrero</t>
  </si>
  <si>
    <t>4600 10 de mayo</t>
  </si>
  <si>
    <t>1140 10 mayo</t>
  </si>
  <si>
    <t>2600 11 mayo</t>
  </si>
  <si>
    <t>3000 13 mayo</t>
  </si>
  <si>
    <t>2500 15 mayo</t>
  </si>
  <si>
    <t>2770 15 mayo</t>
  </si>
  <si>
    <t>4000 15 mayo</t>
  </si>
  <si>
    <t>3800 15 mayo</t>
  </si>
  <si>
    <t>5900 16 abril</t>
  </si>
  <si>
    <t>Brenda martinez</t>
  </si>
  <si>
    <t>p92, crinolina 6, mantilla 011 app039</t>
  </si>
  <si>
    <t>8430 17 mayo</t>
  </si>
  <si>
    <t>2000 17 mayo</t>
  </si>
  <si>
    <t>3400 17 de mayo</t>
  </si>
  <si>
    <t>3420 19 mayo</t>
  </si>
  <si>
    <t>3780 19 mayo</t>
  </si>
  <si>
    <t>sandra Velez</t>
  </si>
  <si>
    <t>4800 13 mayo</t>
  </si>
  <si>
    <t>3500 20 mayo</t>
  </si>
  <si>
    <t>300 20 mayo</t>
  </si>
  <si>
    <t>p56, crinolina 3</t>
  </si>
  <si>
    <t>kn margo, crinolina 6</t>
  </si>
  <si>
    <t>3340 22 mayo</t>
  </si>
  <si>
    <t>p36 cola, crinolina 6, mantilla 041</t>
  </si>
  <si>
    <t>700 22 mayo</t>
  </si>
  <si>
    <t>3240 22 mayo</t>
  </si>
  <si>
    <t>p95</t>
  </si>
  <si>
    <t>Berenice Alvarado</t>
  </si>
  <si>
    <t>4500 27 mayo</t>
  </si>
  <si>
    <t>1220 27 mayo</t>
  </si>
  <si>
    <t>2300 27 mayo</t>
  </si>
  <si>
    <t>1664 27 mayo</t>
  </si>
  <si>
    <t>5300 27 mayo</t>
  </si>
  <si>
    <t>3720 29 mayo</t>
  </si>
  <si>
    <t>2520 29 mayo</t>
  </si>
  <si>
    <t>Daniela Morales</t>
  </si>
  <si>
    <t>2700 29 mayo</t>
  </si>
  <si>
    <t>3240 30 mayo</t>
  </si>
  <si>
    <t>Se quitó descuento</t>
  </si>
  <si>
    <t xml:space="preserve"> 2770 30 mayo</t>
  </si>
  <si>
    <t>2500 30 mayo</t>
  </si>
  <si>
    <t>6000 31 mayo</t>
  </si>
  <si>
    <t>Cliente</t>
  </si>
  <si>
    <t>Productos</t>
  </si>
  <si>
    <t>3580 2 junio</t>
  </si>
  <si>
    <t>3000 2 junio</t>
  </si>
  <si>
    <t>2930 06 mayo</t>
  </si>
  <si>
    <t>2430 3 jun</t>
  </si>
  <si>
    <t>p53, crinolina 6, mantilla 039</t>
  </si>
  <si>
    <t>1720 3 jun</t>
  </si>
  <si>
    <t>6000 3 jun</t>
  </si>
  <si>
    <t>840 3 jun</t>
  </si>
  <si>
    <t>Stefany  Monsivais</t>
  </si>
  <si>
    <t>81-31-33-82-67</t>
  </si>
  <si>
    <t>Vestido s14 muetra, cinto 027, crinolina sirena, tiara 046, velo liso corto</t>
  </si>
  <si>
    <t>5860 5 junio</t>
  </si>
  <si>
    <t>3500 7 junio</t>
  </si>
  <si>
    <t>3480 9 junio</t>
  </si>
  <si>
    <t>Samantha Contreras</t>
  </si>
  <si>
    <t>p108, envío</t>
  </si>
  <si>
    <t>3400 10 jun</t>
  </si>
  <si>
    <t>1000 10 junio</t>
  </si>
  <si>
    <t>Yessenia Mendoza Flores</t>
  </si>
  <si>
    <t>p57, crinolina 6, mantilla 011</t>
  </si>
  <si>
    <t>1500 22 abril</t>
  </si>
  <si>
    <t>Velia Velasco</t>
  </si>
  <si>
    <t>Carolina García</t>
  </si>
  <si>
    <t>p88,velo 048, crinolina 6</t>
  </si>
  <si>
    <t>1140 12 junio</t>
  </si>
  <si>
    <t>5000 11 mayo</t>
  </si>
  <si>
    <t>5500 12 junio</t>
  </si>
  <si>
    <t>6450 12 junio</t>
  </si>
  <si>
    <t>6000 9 junio</t>
  </si>
  <si>
    <t>3000 12 junio</t>
  </si>
  <si>
    <t>8430 13 jun</t>
  </si>
  <si>
    <t>19200 13 jun</t>
  </si>
  <si>
    <t>p53, mantilla 011, crinolina 3, porta</t>
  </si>
  <si>
    <t>Angélica Navarro</t>
  </si>
  <si>
    <t>P53, crinolina 6</t>
  </si>
  <si>
    <t>3000 3 de julio</t>
  </si>
  <si>
    <t>Gloria Santiago</t>
  </si>
  <si>
    <t>p64 crin 6 aros mantilla 039</t>
  </si>
  <si>
    <t xml:space="preserve">4800 15 junio </t>
  </si>
  <si>
    <t>6000 29 junio</t>
  </si>
  <si>
    <t>3760 10 de junio</t>
  </si>
  <si>
    <t>3800 19 junio</t>
  </si>
  <si>
    <t>5000 17 junio</t>
  </si>
  <si>
    <t>3780 21 junio</t>
  </si>
  <si>
    <t>3920 29 junio</t>
  </si>
  <si>
    <t>1900 27 junio</t>
  </si>
  <si>
    <t>5600  19 junio</t>
  </si>
  <si>
    <t>9500  28 junio</t>
  </si>
  <si>
    <t>3240 junio 19</t>
  </si>
  <si>
    <t>5300 28 junio</t>
  </si>
  <si>
    <t>5700 27 mayo</t>
  </si>
  <si>
    <t>2530 30 de junio</t>
  </si>
  <si>
    <t>2700 29 junio</t>
  </si>
  <si>
    <t>4600 24 junio</t>
  </si>
  <si>
    <t>2790 1  julio</t>
  </si>
  <si>
    <t>2860  19 junio</t>
  </si>
  <si>
    <t xml:space="preserve">4100 27 jun </t>
  </si>
  <si>
    <t xml:space="preserve">9000 19 abril </t>
  </si>
  <si>
    <t>Pago 12</t>
  </si>
  <si>
    <t>5700 26 jun</t>
  </si>
  <si>
    <t>3000 16 junio</t>
  </si>
  <si>
    <t>Nereyda Mendoza</t>
  </si>
  <si>
    <t>Mayra Estrada</t>
  </si>
  <si>
    <t>Ana Lilia Rodriguez</t>
  </si>
  <si>
    <t>7340 06 julio</t>
  </si>
  <si>
    <t>6000 1 julio</t>
  </si>
  <si>
    <t>3000 1 julio</t>
  </si>
  <si>
    <t>3600 13 mayo</t>
  </si>
  <si>
    <t>3600 08 jul</t>
  </si>
  <si>
    <t>p116,crinolina 6, hotel de vestido</t>
  </si>
  <si>
    <t>3600 08 julio</t>
  </si>
  <si>
    <t>8600 08 jul</t>
  </si>
  <si>
    <t>3500 8 julio</t>
  </si>
  <si>
    <t>5760 8 jul</t>
  </si>
  <si>
    <t>Wencys Macias</t>
  </si>
  <si>
    <t>950 8 jul</t>
  </si>
  <si>
    <t>5700 10 julio</t>
  </si>
  <si>
    <t>2050 10 de julio</t>
  </si>
  <si>
    <t>4000 11 julio</t>
  </si>
  <si>
    <t>1140 11 julio</t>
  </si>
  <si>
    <t>9 pagos 2733</t>
  </si>
  <si>
    <t>a12 stock 3 aros</t>
  </si>
  <si>
    <t>320 8 julio</t>
  </si>
  <si>
    <t>se quita descuento</t>
  </si>
  <si>
    <t>3760 11 jullio</t>
  </si>
  <si>
    <t>3900 12 julio</t>
  </si>
  <si>
    <t>200 12 julio</t>
  </si>
  <si>
    <t>cambio para p56</t>
  </si>
  <si>
    <t>6450 13 julio</t>
  </si>
  <si>
    <t>p51  mant 039 tiara 045 6 aros</t>
  </si>
  <si>
    <t>2000 14 julio</t>
  </si>
  <si>
    <t>p132 6 aros</t>
  </si>
  <si>
    <t>640 27 mayo</t>
  </si>
  <si>
    <t>4200 17 07</t>
  </si>
  <si>
    <t>p89 027 y 3 aros</t>
  </si>
  <si>
    <t>falta liquidar acseso</t>
  </si>
  <si>
    <t>3240 15 julio</t>
  </si>
  <si>
    <t>3640  15 julio</t>
  </si>
  <si>
    <t>5500 17 jul</t>
  </si>
  <si>
    <t>Jackeline Lozano</t>
  </si>
  <si>
    <t>Diana kn</t>
  </si>
  <si>
    <t>7200 17 julio</t>
  </si>
  <si>
    <t xml:space="preserve">Lucía Garay, </t>
  </si>
  <si>
    <t>p88</t>
  </si>
  <si>
    <t>Katya Treviño</t>
  </si>
  <si>
    <t>3780 20 jul</t>
  </si>
  <si>
    <t>6000 20 jul</t>
  </si>
  <si>
    <t>5450 22 jul</t>
  </si>
  <si>
    <t>4600 22 jul</t>
  </si>
  <si>
    <t xml:space="preserve">Damaris Alarcón </t>
  </si>
  <si>
    <t>p77, velo 048, crinolina 3</t>
  </si>
  <si>
    <t>1700 27 jun</t>
  </si>
  <si>
    <t>2860 24 jul</t>
  </si>
  <si>
    <t>3380 25 jul</t>
  </si>
  <si>
    <t>Lizeth Cavazos</t>
  </si>
  <si>
    <t>3600 28 jul</t>
  </si>
  <si>
    <t>2520 28 jul</t>
  </si>
  <si>
    <t>p81, cinto 011, crinolina 6</t>
  </si>
  <si>
    <t>5300 29 jul</t>
  </si>
  <si>
    <t>3000 29 julio</t>
  </si>
  <si>
    <t>2700 29 julio</t>
  </si>
  <si>
    <t>2790 29 julio</t>
  </si>
  <si>
    <t>6000 1 agosto</t>
  </si>
  <si>
    <t>3090 01 agosto</t>
  </si>
  <si>
    <t>Pago1</t>
  </si>
  <si>
    <t>Martha Castillo</t>
  </si>
  <si>
    <t>Lanesta Rachel</t>
  </si>
  <si>
    <t>Azhai Silva</t>
  </si>
  <si>
    <t>Denisse Ramirez</t>
  </si>
  <si>
    <t>910 1 agost</t>
  </si>
  <si>
    <t>6400 1 agost</t>
  </si>
  <si>
    <t>150 4 agosto</t>
  </si>
  <si>
    <t>6940 4 agosto</t>
  </si>
  <si>
    <t>13680 24 jun</t>
  </si>
  <si>
    <t>Valeria Villalobos</t>
  </si>
  <si>
    <t>Lanesta p95 muestra</t>
  </si>
  <si>
    <t>5600 9 agost</t>
  </si>
  <si>
    <t>Miryam Castillo</t>
  </si>
  <si>
    <t>p134, envio, mantilla 039, crinolina 6</t>
  </si>
  <si>
    <t>5700 10 agosto</t>
  </si>
  <si>
    <t>4000 10 agost</t>
  </si>
  <si>
    <t>7000 10 agosto</t>
  </si>
  <si>
    <t>Pago 6</t>
  </si>
  <si>
    <t>5000 11 agosto</t>
  </si>
  <si>
    <t>2733 11 agosto</t>
  </si>
  <si>
    <t>15391 11 agost</t>
  </si>
  <si>
    <t>3500 12 agosto</t>
  </si>
  <si>
    <t>y</t>
  </si>
  <si>
    <t>7000 15 agosto</t>
  </si>
  <si>
    <t>2430 17 agosto</t>
  </si>
  <si>
    <t>Paula Maldonado</t>
  </si>
  <si>
    <t>p67 muestra, mantilla 039, crinolina 3, liga</t>
  </si>
  <si>
    <t>p57, crinolina 3</t>
  </si>
  <si>
    <t>3600 19 agosto</t>
  </si>
  <si>
    <t>Yarely Maldonado</t>
  </si>
  <si>
    <t>4600 19 agost</t>
  </si>
  <si>
    <t>2000 21 agosto</t>
  </si>
  <si>
    <t>3760 26 agosto</t>
  </si>
  <si>
    <t>7200 15 agosto</t>
  </si>
  <si>
    <t>5300 26 agosto</t>
  </si>
  <si>
    <t>2700 29 agosto</t>
  </si>
  <si>
    <t>5020 29 agosto</t>
  </si>
  <si>
    <t>2510 31 agosto</t>
  </si>
  <si>
    <t>2860 31 08</t>
  </si>
  <si>
    <t>6000 01 sep 2023</t>
  </si>
  <si>
    <t xml:space="preserve">2700 1 sept </t>
  </si>
  <si>
    <t>2440 01 sep</t>
  </si>
  <si>
    <t>Flor Vergara</t>
  </si>
  <si>
    <t>900 1 sept</t>
  </si>
  <si>
    <t>Ma Guadalupe Martínez</t>
  </si>
  <si>
    <t xml:space="preserve">Foranea </t>
  </si>
  <si>
    <t>11360 2 seppt</t>
  </si>
  <si>
    <t>2790 2 sept</t>
  </si>
  <si>
    <t>Karla González</t>
  </si>
  <si>
    <t>p89, crinolina 3</t>
  </si>
  <si>
    <t>4920 2 sep</t>
  </si>
  <si>
    <t>8060 6 sept</t>
  </si>
  <si>
    <t>14700 06 ago</t>
  </si>
  <si>
    <t>Diana kn,crinolina 3</t>
  </si>
  <si>
    <t>5720 29 jul</t>
  </si>
  <si>
    <t>3930 05 sept</t>
  </si>
  <si>
    <t>p31 crinolina, 3 aros,800</t>
  </si>
  <si>
    <t>4500 09 sept</t>
  </si>
  <si>
    <t>6000 7 sep</t>
  </si>
  <si>
    <t>2733 11 sept</t>
  </si>
  <si>
    <t>Nayeli Requena</t>
  </si>
  <si>
    <t>2250 11 sept</t>
  </si>
  <si>
    <t>5000 13 sept</t>
  </si>
  <si>
    <t>4000 13 sept</t>
  </si>
  <si>
    <t>Pago 7</t>
  </si>
  <si>
    <t>5026 14 sept</t>
  </si>
  <si>
    <t>Nereida Silva</t>
  </si>
  <si>
    <t>Alicia Rojas</t>
  </si>
  <si>
    <t>p89, crinolina 6, tiara 46, velo 048,cinto28,crinolina tul</t>
  </si>
  <si>
    <t>250 15 sep</t>
  </si>
  <si>
    <t>5000 16 sept</t>
  </si>
  <si>
    <t>Lourdes González</t>
  </si>
  <si>
    <t>2000 18 sept</t>
  </si>
  <si>
    <t>Valeria Cantú</t>
  </si>
  <si>
    <t>kn suzan, envío</t>
  </si>
  <si>
    <t>2700 19 sept</t>
  </si>
  <si>
    <t>2000 23 sept</t>
  </si>
  <si>
    <t>5040 23 sep</t>
  </si>
  <si>
    <t>3600 16 sep</t>
  </si>
  <si>
    <t xml:space="preserve">850 28 sept </t>
  </si>
  <si>
    <t>2430 15 sept</t>
  </si>
  <si>
    <t>3600 29 sept</t>
  </si>
  <si>
    <t>2860 29 sept</t>
  </si>
  <si>
    <t>4500 29 sept</t>
  </si>
  <si>
    <t>3760 30 sep</t>
  </si>
  <si>
    <t>Andrea Rocha</t>
  </si>
  <si>
    <t>2790 30 sept</t>
  </si>
  <si>
    <t>Iris Reta</t>
  </si>
  <si>
    <t>3380 2 oct</t>
  </si>
  <si>
    <t>7740 02 oct</t>
  </si>
  <si>
    <t>3900 3 oct</t>
  </si>
  <si>
    <t>5940 04 oct</t>
  </si>
  <si>
    <t>3280 6 oct</t>
  </si>
  <si>
    <t>2733 07 oct</t>
  </si>
  <si>
    <t>2250 9 oct</t>
  </si>
  <si>
    <t>3420 10 oct</t>
  </si>
  <si>
    <t>6940 11 oct</t>
  </si>
  <si>
    <t>3760 14 oct</t>
  </si>
  <si>
    <t>s14 muestra, cinto 011 2 piezas</t>
  </si>
  <si>
    <t>2430 17 oct</t>
  </si>
  <si>
    <t>4640 18 oct</t>
  </si>
  <si>
    <t>pasa el sábado</t>
  </si>
  <si>
    <t>6500 20 oct</t>
  </si>
  <si>
    <t>Melissa Perez</t>
  </si>
  <si>
    <t>p64, crinolina 6, velo 040</t>
  </si>
  <si>
    <t>5500 21 oct</t>
  </si>
  <si>
    <t>1160 14 oct</t>
  </si>
  <si>
    <t>3600 21 oct</t>
  </si>
  <si>
    <t>|1</t>
  </si>
  <si>
    <t>Ana Luisa Torres</t>
  </si>
  <si>
    <t>Elisa Flores</t>
  </si>
  <si>
    <t>2000 23 oct</t>
  </si>
  <si>
    <t>p133, crinolina 3 mantilla brillod</t>
  </si>
  <si>
    <t>5750 24 oct</t>
  </si>
  <si>
    <t>p80muestra</t>
  </si>
  <si>
    <t>12420 27 oct</t>
  </si>
  <si>
    <t>p55, cinto 13, tiara 31 muestra</t>
  </si>
  <si>
    <t>blanca cantu</t>
  </si>
  <si>
    <t>P53 3 aros velo 027</t>
  </si>
  <si>
    <t>5000 28 oct</t>
  </si>
  <si>
    <t>5640 1 nov</t>
  </si>
  <si>
    <t>3520 3 nov</t>
  </si>
  <si>
    <t>2250 9 nov</t>
  </si>
  <si>
    <t>esther Monserrat López</t>
  </si>
  <si>
    <t>crinolina y tiara 051 entregadas</t>
  </si>
  <si>
    <t>2033 11 nov</t>
  </si>
  <si>
    <t xml:space="preserve">700 11 nov </t>
  </si>
  <si>
    <t>3380 2 nov</t>
  </si>
  <si>
    <t>9000 4 nov</t>
  </si>
  <si>
    <t>gabriela barboza</t>
  </si>
  <si>
    <t>lucero abigail rocha</t>
  </si>
  <si>
    <t>p89, mantilla 049, crinolina 3 aros</t>
  </si>
  <si>
    <t>itzel venegas</t>
  </si>
  <si>
    <t>p97, mantilla 012, crinolina 3 aros</t>
  </si>
  <si>
    <t>p107 muestra, velo 045, crinolina 3 aros</t>
  </si>
  <si>
    <t>2200 9 nov</t>
  </si>
  <si>
    <t>p89 , velo 024, crinolina 6 aros , cinto 28</t>
  </si>
  <si>
    <t>1000 10 nov</t>
  </si>
  <si>
    <t>edna arely carlos</t>
  </si>
  <si>
    <t>p133, mantilla 011 con aplicación 039</t>
  </si>
  <si>
    <t>6600 20 nov</t>
  </si>
  <si>
    <t>3100 22 nov</t>
  </si>
  <si>
    <t>julieta gutierrez</t>
  </si>
  <si>
    <t>yesica zetina perez</t>
  </si>
  <si>
    <t xml:space="preserve">p97 </t>
  </si>
  <si>
    <t>cinthia c, alvarado</t>
  </si>
  <si>
    <t>p107, mantilla 48</t>
  </si>
  <si>
    <t>alma aldaco viera</t>
  </si>
  <si>
    <t>diana kn, cronolina 3 aros</t>
  </si>
  <si>
    <t>2000 21 nov</t>
  </si>
  <si>
    <t>2000 21 nov+A9:N9</t>
  </si>
  <si>
    <t>enzi</t>
  </si>
  <si>
    <t>2100 29 nov</t>
  </si>
  <si>
    <t>p95 EL mantilla 039 tiara 051 mono velo, tiara 048, crinolina 6 aros</t>
  </si>
  <si>
    <t>2900 4 DIC</t>
  </si>
  <si>
    <t>5500 23 nov</t>
  </si>
  <si>
    <t>p128, velo brillos(tati)cronolina 6 aros, tiara 56</t>
  </si>
  <si>
    <t>10500 23 nov</t>
  </si>
  <si>
    <t xml:space="preserve">12776 24 nov </t>
  </si>
  <si>
    <t>p57 crinolina 6 aros, velo corto bordado, tiara 60</t>
  </si>
  <si>
    <t>3860 25 nov</t>
  </si>
  <si>
    <t>suzan kn muestra, bolero y mangas, crinolins 3 aros , tiara 46</t>
  </si>
  <si>
    <t>2000 30 nov</t>
  </si>
  <si>
    <t>p136 , crinolina</t>
  </si>
  <si>
    <t>11060 30 nov</t>
  </si>
  <si>
    <t>productos</t>
  </si>
  <si>
    <t>anticipo</t>
  </si>
  <si>
    <t>pago 1</t>
  </si>
  <si>
    <t>pago2</t>
  </si>
  <si>
    <t>pago3</t>
  </si>
  <si>
    <t>pago4</t>
  </si>
  <si>
    <t>Columna5</t>
  </si>
  <si>
    <t>Columna6</t>
  </si>
  <si>
    <t>Columna7</t>
  </si>
  <si>
    <t>Columna8</t>
  </si>
  <si>
    <t>Columna9</t>
  </si>
  <si>
    <t>Columna10</t>
  </si>
  <si>
    <t>fryda sofia veloz</t>
  </si>
  <si>
    <t>p132</t>
  </si>
  <si>
    <t>fernanda hernandez</t>
  </si>
  <si>
    <t>saffron</t>
  </si>
  <si>
    <t>6440 2dic</t>
  </si>
  <si>
    <t>Lanesta Rachel, crinolina 6 aros</t>
  </si>
  <si>
    <t>michel rincon</t>
  </si>
  <si>
    <t>denya samadhi castillo</t>
  </si>
  <si>
    <t>marry- yana muestra</t>
  </si>
  <si>
    <t>Kn angela, crinolina 6, velo brillos (tati)</t>
  </si>
  <si>
    <t>1400 7 dic</t>
  </si>
  <si>
    <t>3420 9 nov</t>
  </si>
  <si>
    <t>3420 9 dic</t>
  </si>
  <si>
    <t>p128</t>
  </si>
  <si>
    <t>luz del carmen martinez</t>
  </si>
  <si>
    <t xml:space="preserve">p133  </t>
  </si>
  <si>
    <t>berenice guerrero</t>
  </si>
  <si>
    <t>´P</t>
  </si>
  <si>
    <t>6600 20 dic</t>
  </si>
  <si>
    <t>2100 20 dic</t>
  </si>
  <si>
    <t xml:space="preserve">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</si>
  <si>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5500 21 dic</t>
  </si>
  <si>
    <t>3389 2 dic</t>
  </si>
  <si>
    <t>5050 14 dic</t>
  </si>
  <si>
    <t>Lanesta Rachel Muestra, crinolina 6 aros</t>
  </si>
  <si>
    <t xml:space="preserve">maria fernanda leyva </t>
  </si>
  <si>
    <t>9000 16dic</t>
  </si>
  <si>
    <t>alejandra gonzalez martinez</t>
  </si>
  <si>
    <t>A12 muestra</t>
  </si>
  <si>
    <t>3705 16 dic</t>
  </si>
  <si>
    <t>2250 18 dic</t>
  </si>
  <si>
    <t>3130 25 nov</t>
  </si>
  <si>
    <t xml:space="preserve">no contesto </t>
  </si>
  <si>
    <t>cancela velo</t>
  </si>
  <si>
    <t xml:space="preserve">2790 2 ene </t>
  </si>
  <si>
    <t>5000 4 ene</t>
  </si>
  <si>
    <t>Diana Kn, envío, mantilla 039, crinolina 6 aros</t>
  </si>
  <si>
    <t xml:space="preserve">Diana Kn, envío </t>
  </si>
  <si>
    <t>2373 9 ene</t>
  </si>
  <si>
    <t>3000 9 ene</t>
  </si>
  <si>
    <t>9000 9 enero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</si>
  <si>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</si>
  <si>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3705 15 ener</t>
  </si>
  <si>
    <t xml:space="preserve">lesly nallely ponce </t>
  </si>
  <si>
    <t>maria guadalupe jimenez</t>
  </si>
  <si>
    <t>marisol martinez</t>
  </si>
  <si>
    <t>3420 2 ene</t>
  </si>
  <si>
    <t>tonagro</t>
  </si>
  <si>
    <t>4210 4 ene</t>
  </si>
  <si>
    <t>america guadaluoe cepeda</t>
  </si>
  <si>
    <t>8000 10 ene</t>
  </si>
  <si>
    <t xml:space="preserve">berenice vazquez hernandez </t>
  </si>
  <si>
    <t>p86, crinolina 3, envío, mantilla 039 ivory</t>
  </si>
  <si>
    <t>denise ornelas camacho</t>
  </si>
  <si>
    <t>margo</t>
  </si>
  <si>
    <t>alma nelly rodarte</t>
  </si>
  <si>
    <t>diana kn</t>
  </si>
  <si>
    <t>6000 15 ener</t>
  </si>
  <si>
    <t>2430 15 dic</t>
  </si>
  <si>
    <t>10000 17 ene</t>
  </si>
  <si>
    <t>4270 18 ene</t>
  </si>
  <si>
    <t>5500 20 ene</t>
  </si>
  <si>
    <t>8650  22 ene</t>
  </si>
  <si>
    <t>pagado ya con envio</t>
  </si>
  <si>
    <t>3400 16 ene</t>
  </si>
  <si>
    <t>p33,tiara 58, mantilla 039</t>
  </si>
  <si>
    <t>1760 22 ene</t>
  </si>
  <si>
    <t>6600 22 ene</t>
  </si>
  <si>
    <t>dariela del toro</t>
  </si>
  <si>
    <t xml:space="preserve">p92 ivory </t>
  </si>
  <si>
    <t>4300 23 ene</t>
  </si>
  <si>
    <t xml:space="preserve">3420 23 ene </t>
  </si>
  <si>
    <t xml:space="preserve">maria fernanda ruiz </t>
  </si>
  <si>
    <t>bella , velo marry me, tocado 44, crinolina 6 aros</t>
  </si>
  <si>
    <t>analheli chapa garza</t>
  </si>
  <si>
    <t>madelyn, mantilla 039</t>
  </si>
  <si>
    <t>Columna11</t>
  </si>
  <si>
    <t>10000 25 ene</t>
  </si>
  <si>
    <t>1000 27 ENERO</t>
  </si>
  <si>
    <t>3000 10 FEB</t>
  </si>
  <si>
    <t>5000 14 FEB</t>
  </si>
  <si>
    <t>13160 23 dic</t>
  </si>
  <si>
    <t xml:space="preserve">miriam martinez </t>
  </si>
  <si>
    <t xml:space="preserve">zarina </t>
  </si>
  <si>
    <t xml:space="preserve">melissa fernanda garza </t>
  </si>
  <si>
    <t>zulain edith aguilar</t>
  </si>
  <si>
    <t xml:space="preserve">p136, tocado 58 </t>
  </si>
  <si>
    <t xml:space="preserve">p47 crinolina 6, cinto 24 </t>
  </si>
  <si>
    <t>judith cerecedo hernandez</t>
  </si>
  <si>
    <t>Lanesta Peony,mantilla marry me,crinolina 6 aros, tocado 46(entregado)</t>
  </si>
  <si>
    <t>1200 30 ene</t>
  </si>
  <si>
    <t>2100 31 ene</t>
  </si>
  <si>
    <t>mariana sanchez cantu</t>
  </si>
  <si>
    <t>bella</t>
  </si>
  <si>
    <t>producto</t>
  </si>
  <si>
    <t>pago1</t>
  </si>
  <si>
    <t>pago5</t>
  </si>
  <si>
    <t>patricia gabriela mendoza</t>
  </si>
  <si>
    <t>p47</t>
  </si>
  <si>
    <t>liliana alejandra arevalos</t>
  </si>
  <si>
    <t>3480n3 feb</t>
  </si>
  <si>
    <t>2740 3 feb</t>
  </si>
  <si>
    <t>madelyn, mantilla 039con 1 metro de largo extra</t>
  </si>
  <si>
    <t>4300 6 feb</t>
  </si>
  <si>
    <t>3500 6 feb</t>
  </si>
  <si>
    <t>2800 6 feb</t>
  </si>
  <si>
    <t>5000 6 feb</t>
  </si>
  <si>
    <t>3000 9 feb</t>
  </si>
  <si>
    <t xml:space="preserve">adelaida hernandez </t>
  </si>
  <si>
    <t>10000 10 feb</t>
  </si>
  <si>
    <t>2373 10 feb</t>
  </si>
  <si>
    <t>3720 10 feb</t>
  </si>
  <si>
    <t>thalia rubi carrillo</t>
  </si>
  <si>
    <t>4800 13 feb</t>
  </si>
  <si>
    <t>4440 13 feb</t>
  </si>
  <si>
    <t>11000 14 feb</t>
  </si>
  <si>
    <t>p128 muestra, crinolina 6 aros, tocado 61, velo merry me</t>
  </si>
  <si>
    <t>2350 15 feb</t>
  </si>
  <si>
    <t xml:space="preserve">luisa betancourt </t>
  </si>
  <si>
    <t>rosario wendolyne monsivais</t>
  </si>
  <si>
    <t>7700 17 feb</t>
  </si>
  <si>
    <t>angelica de la cruz cruz</t>
  </si>
  <si>
    <t>p21, mantilla 19,crinolina 3 aros</t>
  </si>
  <si>
    <t>16500 17 feb</t>
  </si>
  <si>
    <t>3400 20 feb</t>
  </si>
  <si>
    <t>arely rubi sosa</t>
  </si>
  <si>
    <t>abril montes</t>
  </si>
  <si>
    <t>2100 20 feb</t>
  </si>
  <si>
    <t>diana cortes</t>
  </si>
  <si>
    <t xml:space="preserve">2000 22 feb </t>
  </si>
  <si>
    <t>3420 23 feb</t>
  </si>
  <si>
    <t>4500 23 feb</t>
  </si>
  <si>
    <t>3200 24 feb</t>
  </si>
  <si>
    <t xml:space="preserve">mariana leyva </t>
  </si>
  <si>
    <t>580 24 feb</t>
  </si>
  <si>
    <t>ayari de jesus cadena</t>
  </si>
  <si>
    <t>lourdes yadira sosa</t>
  </si>
  <si>
    <t>lucia, mantilla flores 3d</t>
  </si>
  <si>
    <t>4320 12feb</t>
  </si>
  <si>
    <t>2350 25 ene</t>
  </si>
  <si>
    <t>hanny muestra</t>
  </si>
  <si>
    <t>15100 26 feb</t>
  </si>
  <si>
    <t>p86 rachel</t>
  </si>
  <si>
    <t>adriana torres yañez</t>
  </si>
  <si>
    <t xml:space="preserve">n </t>
  </si>
  <si>
    <t>p118 muestra , mantilla 050, crinolina 6 aros</t>
  </si>
  <si>
    <t>pamela rachel</t>
  </si>
  <si>
    <t>p56,mantilla 050, crinolina 6 aros, velo 027, tiara 60</t>
  </si>
  <si>
    <t>620 27 feb</t>
  </si>
  <si>
    <t>3714 27 feb</t>
  </si>
  <si>
    <t>860 28 feb</t>
  </si>
  <si>
    <t>5000 1 mar</t>
  </si>
  <si>
    <t>4900 2 marz</t>
  </si>
  <si>
    <t>j1058 muestra, crinolina 3 aros</t>
  </si>
  <si>
    <t>4000 2 marz</t>
  </si>
  <si>
    <t xml:space="preserve">ana isabel rojas </t>
  </si>
  <si>
    <t>mont blanc, velo con liston, crinolina 3 aros</t>
  </si>
  <si>
    <t>3805 2 marz</t>
  </si>
  <si>
    <t>2400 2 marz</t>
  </si>
  <si>
    <t>2430 ene</t>
  </si>
  <si>
    <t>2530feb</t>
  </si>
  <si>
    <t>5400 marz</t>
  </si>
  <si>
    <t>4500  feb</t>
  </si>
  <si>
    <t>5500 19 marz</t>
  </si>
  <si>
    <t>3740 marzo</t>
  </si>
  <si>
    <t>p133, velo brillos (tati), tocado 59, 6 aros</t>
  </si>
  <si>
    <t>3400 4 marzo</t>
  </si>
  <si>
    <t>7700 22 marz</t>
  </si>
  <si>
    <t xml:space="preserve">2034 marzo 23 </t>
  </si>
  <si>
    <t>4325 21 marzo</t>
  </si>
  <si>
    <t>2800 2 marzo</t>
  </si>
  <si>
    <t>4300 5 marzo</t>
  </si>
  <si>
    <t>julia nohemi</t>
  </si>
  <si>
    <t>karina franco</t>
  </si>
  <si>
    <t>2373 11 marzo</t>
  </si>
  <si>
    <t>2430 11 marzo</t>
  </si>
  <si>
    <t>8320 12mazo</t>
  </si>
  <si>
    <t>Pago 42</t>
  </si>
  <si>
    <t>4016 13 marzo</t>
  </si>
  <si>
    <t>4016 13 ma+A7:M7</t>
  </si>
  <si>
    <t>4800 13 marzo</t>
  </si>
  <si>
    <t xml:space="preserve">diana m. salas </t>
  </si>
  <si>
    <t>p110 liquidacion, mantilla 054</t>
  </si>
  <si>
    <t>4440 15 marzo</t>
  </si>
  <si>
    <t>15640 15 marzo</t>
  </si>
  <si>
    <t>cinthia hernandez torres</t>
  </si>
  <si>
    <t xml:space="preserve">bella    </t>
  </si>
  <si>
    <t>p95 El</t>
  </si>
  <si>
    <t>isabel campos</t>
  </si>
  <si>
    <t>4000 16 marzo y abril</t>
  </si>
  <si>
    <t>1510 16 marzo</t>
  </si>
  <si>
    <t>marlene abigail vigil</t>
  </si>
  <si>
    <t>zarina muestra</t>
  </si>
  <si>
    <t>4000 19 marrzo</t>
  </si>
  <si>
    <t>3420 21 marz</t>
  </si>
  <si>
    <t>21600 marzo</t>
  </si>
  <si>
    <t xml:space="preserve">1900 21 marzo </t>
  </si>
  <si>
    <t>kimberly daniela ojeda</t>
  </si>
  <si>
    <t xml:space="preserve">bella modelo plateado con transparencia en abs , velo corto con liston, crinolina 6 aros </t>
  </si>
  <si>
    <t>1500 23 marzo</t>
  </si>
  <si>
    <t>p97, crinolina 3 aros, velo 043 brillos</t>
  </si>
  <si>
    <t>800 23 marzo</t>
  </si>
  <si>
    <t xml:space="preserve">3200 marzo </t>
  </si>
  <si>
    <t>4500 23 marzo</t>
  </si>
  <si>
    <t>7040 23 marzo</t>
  </si>
  <si>
    <t>erika carolina zuñiga</t>
  </si>
  <si>
    <t xml:space="preserve">p97 mostrador, mantilla 048 </t>
  </si>
  <si>
    <t>yahaira selene iracheta</t>
  </si>
  <si>
    <t xml:space="preserve">p133, crinolina 6, mantilla 011 con brillos </t>
  </si>
  <si>
    <t>1500 26 marzo</t>
  </si>
  <si>
    <t>3700 26 marzo</t>
  </si>
  <si>
    <t>frida alejandra arce</t>
  </si>
  <si>
    <t>yareysi seba maldonado</t>
  </si>
  <si>
    <t>angela  mostrador, velo liso, crinolina 6 aros</t>
  </si>
  <si>
    <t xml:space="preserve">p16, cinto 25 </t>
  </si>
  <si>
    <t>3714 27 marzo</t>
  </si>
  <si>
    <t>6 pagos</t>
  </si>
  <si>
    <t>2350 25 marzo</t>
  </si>
  <si>
    <t>5000 7 marzo</t>
  </si>
  <si>
    <t>4300 ABRIL 4</t>
  </si>
  <si>
    <t>2700 8 abril</t>
  </si>
  <si>
    <t xml:space="preserve">5480 8 abril </t>
  </si>
  <si>
    <t xml:space="preserve">bellaD31, velo para cabeza de perlas, crinolina 6 aros </t>
  </si>
  <si>
    <t xml:space="preserve">5100 10 abril </t>
  </si>
  <si>
    <t xml:space="preserve">5000 12 abeil </t>
  </si>
  <si>
    <t>madelyn</t>
  </si>
  <si>
    <t>2400 13 abril</t>
  </si>
  <si>
    <t>jisela becerra ramos</t>
  </si>
  <si>
    <t>4200 29 marzo</t>
  </si>
  <si>
    <t xml:space="preserve">isabel adlemi rodriguez </t>
  </si>
  <si>
    <t xml:space="preserve">p45, mantilla 039 </t>
  </si>
  <si>
    <t>5000 2 abril</t>
  </si>
  <si>
    <t>Columna92</t>
  </si>
  <si>
    <t>2650 4 abril</t>
  </si>
  <si>
    <t>7000 4 abril</t>
  </si>
  <si>
    <t>14950b4 abril</t>
  </si>
  <si>
    <t>3400 6 abril</t>
  </si>
  <si>
    <t>2100 6 abril</t>
  </si>
  <si>
    <t xml:space="preserve">yosari valdez </t>
  </si>
  <si>
    <t>p64</t>
  </si>
  <si>
    <t>leida lumbreras</t>
  </si>
  <si>
    <t>7200 A11:K11</t>
  </si>
  <si>
    <t>6600 10 abril</t>
  </si>
  <si>
    <t>2430 1'0 abril</t>
  </si>
  <si>
    <t>2373 10 abril</t>
  </si>
  <si>
    <t>2350 15 abril</t>
  </si>
  <si>
    <t>660 12 abril</t>
  </si>
  <si>
    <t xml:space="preserve">rachel muestra , velo 045 </t>
  </si>
  <si>
    <t>yadira gpe zambrano</t>
  </si>
  <si>
    <t>5200 13 abril</t>
  </si>
  <si>
    <t>4500 13 abril</t>
  </si>
  <si>
    <t>5734 15 abril</t>
  </si>
  <si>
    <t>kelly yaressy vazquez</t>
  </si>
  <si>
    <t xml:space="preserve">4000 16 abril </t>
  </si>
  <si>
    <t>1510 17 abril</t>
  </si>
  <si>
    <t>alondra esmeralda</t>
  </si>
  <si>
    <t>2000 20 abril</t>
  </si>
  <si>
    <t>2680 20 abrl</t>
  </si>
  <si>
    <t xml:space="preserve">saffron </t>
  </si>
  <si>
    <t>valeria mendoza</t>
  </si>
  <si>
    <t>q</t>
  </si>
  <si>
    <t>anette berumen</t>
  </si>
  <si>
    <t>karina salinas</t>
  </si>
  <si>
    <t>jessica muñoz serra</t>
  </si>
  <si>
    <t>p107 mestra</t>
  </si>
  <si>
    <t>dolores jocabe jurado</t>
  </si>
  <si>
    <t>madeline garces</t>
  </si>
  <si>
    <t>2870 22 abril</t>
  </si>
  <si>
    <t>3900 23 abril</t>
  </si>
  <si>
    <t xml:space="preserve">6910 23 abril </t>
  </si>
  <si>
    <t>miriam paola martinez</t>
  </si>
  <si>
    <t>6600 24 abril</t>
  </si>
  <si>
    <t>2034 27 abril</t>
  </si>
  <si>
    <t>3714 27 abril</t>
  </si>
  <si>
    <t xml:space="preserve">3630 27 abril </t>
  </si>
  <si>
    <t>7040 29 abril</t>
  </si>
  <si>
    <t>12000 2 may</t>
  </si>
  <si>
    <t xml:space="preserve">3600 2 may </t>
  </si>
  <si>
    <t>5000 2 may</t>
  </si>
  <si>
    <t>11500 3 may</t>
  </si>
  <si>
    <t>7000 3 may</t>
  </si>
  <si>
    <t xml:space="preserve">p71, velo bordado de perlas </t>
  </si>
  <si>
    <t>1000 4 may</t>
  </si>
  <si>
    <t>4400 4 may</t>
  </si>
  <si>
    <t xml:space="preserve">p56, mantilla 039, crinolina 6 aros </t>
  </si>
  <si>
    <t>4200 4 may</t>
  </si>
  <si>
    <t>6000 4 may</t>
  </si>
  <si>
    <t>4 mnayo 24</t>
  </si>
  <si>
    <t>daniela jasso</t>
  </si>
  <si>
    <t>Columna93</t>
  </si>
  <si>
    <t>2373 9 may</t>
  </si>
  <si>
    <t>14400 11 may</t>
  </si>
  <si>
    <t>stephanie gpe, guerra</t>
  </si>
  <si>
    <t>8150 11 mayo</t>
  </si>
  <si>
    <t>5590 11 may</t>
  </si>
  <si>
    <t>4860 11 may</t>
  </si>
  <si>
    <t>claudia sarahi muñoz</t>
  </si>
  <si>
    <t>3000 11 may</t>
  </si>
  <si>
    <t>2500 11 may</t>
  </si>
  <si>
    <t>4380 11 may</t>
  </si>
  <si>
    <t>6600 13 may</t>
  </si>
  <si>
    <t xml:space="preserve">hilda nataly salinas  </t>
  </si>
  <si>
    <t>6700 14 may</t>
  </si>
  <si>
    <t>1510 16 may</t>
  </si>
  <si>
    <t>2735 16 may</t>
  </si>
  <si>
    <t>6080 17 may</t>
  </si>
  <si>
    <t>3500 18 may</t>
  </si>
  <si>
    <t xml:space="preserve">elvia yaneth ayala </t>
  </si>
  <si>
    <t>9300 18 may</t>
  </si>
  <si>
    <t>6000 18 may</t>
  </si>
  <si>
    <t>4000 21 may</t>
  </si>
  <si>
    <t xml:space="preserve">40000 abril </t>
  </si>
  <si>
    <t>6910  23 may</t>
  </si>
  <si>
    <t>5734 may</t>
  </si>
  <si>
    <t>1500 24 mayo</t>
  </si>
  <si>
    <t>1828 25 may</t>
  </si>
  <si>
    <t>4200 marz</t>
  </si>
  <si>
    <t>3740 abril</t>
  </si>
  <si>
    <t>7100mar</t>
  </si>
  <si>
    <t xml:space="preserve">3000 25 may </t>
  </si>
  <si>
    <t>72009 abril</t>
  </si>
  <si>
    <t>6600 24 may</t>
  </si>
  <si>
    <t>3740 21 may</t>
  </si>
  <si>
    <t xml:space="preserve">madelyn, velo marry me, crinolina 6 aros, tocado 60 </t>
  </si>
  <si>
    <t>alexia gonzalez leal</t>
  </si>
  <si>
    <t>6455 23 may</t>
  </si>
  <si>
    <t xml:space="preserve">2034  23 may </t>
  </si>
  <si>
    <t>johana pedraza</t>
  </si>
  <si>
    <t>p136 muestra</t>
  </si>
  <si>
    <t>1000 25 may</t>
  </si>
  <si>
    <t>perla zuñiga lopez</t>
  </si>
  <si>
    <t>camila muestra , crinolina 3 aros</t>
  </si>
  <si>
    <t>crinolinaentregada</t>
  </si>
  <si>
    <t xml:space="preserve">3714 may </t>
  </si>
  <si>
    <t>7500 21 may</t>
  </si>
  <si>
    <t>4440 5 jun</t>
  </si>
  <si>
    <t>3400 27 may</t>
  </si>
  <si>
    <t xml:space="preserve">mara arely gonez </t>
  </si>
  <si>
    <t>s14 muestra, cinto 26</t>
  </si>
  <si>
    <t>3700 29 may</t>
  </si>
  <si>
    <t xml:space="preserve">10000 30 may </t>
  </si>
  <si>
    <t>4000 1 jun</t>
  </si>
  <si>
    <t>pago 2</t>
  </si>
  <si>
    <t>pago 3</t>
  </si>
  <si>
    <t>pago 4</t>
  </si>
  <si>
    <t>pago 5</t>
  </si>
  <si>
    <t>leslie vanessa vallejo</t>
  </si>
  <si>
    <t xml:space="preserve">4100 1 un </t>
  </si>
  <si>
    <t>5000 3 jun</t>
  </si>
  <si>
    <t>ana lilia rodriguez</t>
  </si>
  <si>
    <t>margo muestra , mantilla 027, tiara 62</t>
  </si>
  <si>
    <t>8550 6 jun</t>
  </si>
  <si>
    <t>4140 6 jun</t>
  </si>
  <si>
    <t>5832 7 jun</t>
  </si>
  <si>
    <t>s10, mantilla 36. crinolina sirena</t>
  </si>
  <si>
    <t>9000 8 jun</t>
  </si>
  <si>
    <t>Columna94</t>
  </si>
  <si>
    <t>2373 8 jun</t>
  </si>
  <si>
    <t>1350 8 jun</t>
  </si>
  <si>
    <t xml:space="preserve">diana , tocado 55,velo marry me </t>
  </si>
  <si>
    <t>1400 8 jun</t>
  </si>
  <si>
    <t>2050 8 jun /jun jul</t>
  </si>
  <si>
    <t>2500 10 jul</t>
  </si>
  <si>
    <t xml:space="preserve">gabriela alejandra </t>
  </si>
  <si>
    <t>a12, velo 004</t>
  </si>
  <si>
    <t>4000 15 jun</t>
  </si>
  <si>
    <t>6000 15 jun</t>
  </si>
  <si>
    <t>1510 15 jun</t>
  </si>
  <si>
    <t>3480 18 jun</t>
  </si>
  <si>
    <t>5000 18 jun</t>
  </si>
  <si>
    <t>3500 19 un</t>
  </si>
  <si>
    <t>2500 13 jun</t>
  </si>
  <si>
    <t>790 ´19 jun</t>
  </si>
  <si>
    <t>4438  21 jun</t>
  </si>
  <si>
    <t>evelyn reyes zapata</t>
  </si>
  <si>
    <t>6000 21 jun</t>
  </si>
  <si>
    <t>6230 22 jun</t>
  </si>
  <si>
    <t>p89, crinolina 6 aros</t>
  </si>
  <si>
    <t>15340 22 jun</t>
  </si>
  <si>
    <t>p115 muestra</t>
  </si>
  <si>
    <t>2034 24 jun</t>
  </si>
  <si>
    <t>3500 26 jun</t>
  </si>
  <si>
    <t>5000 26 jun</t>
  </si>
  <si>
    <t xml:space="preserve">dannia p ocañas </t>
  </si>
  <si>
    <t>3714 28 jun</t>
  </si>
  <si>
    <t>7000 28 ju</t>
  </si>
  <si>
    <t xml:space="preserve">7010 29 jul </t>
  </si>
  <si>
    <t>7010 29 ju+A10:K10</t>
  </si>
  <si>
    <t>4440 1 jul</t>
  </si>
  <si>
    <t>5320 1 jul</t>
  </si>
  <si>
    <t xml:space="preserve">3190 2 jul </t>
  </si>
  <si>
    <t>liliana escobedo</t>
  </si>
  <si>
    <t>s16 muestra</t>
  </si>
  <si>
    <t>3850 6 jul</t>
  </si>
  <si>
    <t xml:space="preserve"> p131 liquidacion, tocado 22, crinolina</t>
  </si>
  <si>
    <t>7040 6 jul</t>
  </si>
  <si>
    <t>7140 6 jul</t>
  </si>
  <si>
    <t>4140 6 jul</t>
  </si>
  <si>
    <t>3600 6 jul</t>
  </si>
  <si>
    <t>ana lizeth camacho</t>
  </si>
  <si>
    <t>p111 muestra, velo corto liston</t>
  </si>
  <si>
    <t>alma delia baez</t>
  </si>
  <si>
    <t>s7 liquidacion</t>
  </si>
  <si>
    <t>1500 6 jul</t>
  </si>
  <si>
    <t>p136, tocado 46, crinolina 3 aros, velo largo liso</t>
  </si>
  <si>
    <t>280 6 jul</t>
  </si>
  <si>
    <t>Columna95</t>
  </si>
  <si>
    <t>2373 6 jul</t>
  </si>
  <si>
    <t>6600 17  jul</t>
  </si>
  <si>
    <t>3200 5 ago</t>
  </si>
  <si>
    <t>350 23n jul</t>
  </si>
  <si>
    <t>alma veronia mendoza</t>
  </si>
  <si>
    <t>p138</t>
  </si>
  <si>
    <t>9 julo 24</t>
  </si>
  <si>
    <t>esmeralda martinez</t>
  </si>
  <si>
    <t>abril martinez</t>
  </si>
  <si>
    <t>adriana zuñiga</t>
  </si>
  <si>
    <t>p136, rinolina 6 aros</t>
  </si>
  <si>
    <t>valeria damaris sarahi</t>
  </si>
  <si>
    <t>mildred denisse</t>
  </si>
  <si>
    <t>anastacia</t>
  </si>
  <si>
    <t>p36</t>
  </si>
  <si>
    <t xml:space="preserve">breda lizeth </t>
  </si>
  <si>
    <t>adriana niño</t>
  </si>
  <si>
    <t xml:space="preserve">5150 25 jul </t>
  </si>
  <si>
    <t>1850 12jul</t>
  </si>
  <si>
    <t>3500 8 jul</t>
  </si>
  <si>
    <t xml:space="preserve">madelyn ,velo corto con liston, crinolina 6 aros </t>
  </si>
  <si>
    <t xml:space="preserve">620 15 jul </t>
  </si>
  <si>
    <t>5000 15 jul</t>
  </si>
  <si>
    <t>Columna96</t>
  </si>
  <si>
    <t>2735 15b jun</t>
  </si>
  <si>
    <t>|1368  15 jul</t>
  </si>
  <si>
    <t>402 23 jul</t>
  </si>
  <si>
    <t>4000 16 jul</t>
  </si>
  <si>
    <t>8000 18 jul</t>
  </si>
  <si>
    <t>5500 20 jul</t>
  </si>
  <si>
    <t>14550 25 jul</t>
  </si>
  <si>
    <t>700 25 jul</t>
  </si>
  <si>
    <t xml:space="preserve">p136, velo corto bordado de perlas en orilla </t>
  </si>
  <si>
    <t>2034 27 jul</t>
  </si>
  <si>
    <t>pago6</t>
  </si>
  <si>
    <t>400 27 jul</t>
  </si>
  <si>
    <t>3700 29 jul</t>
  </si>
  <si>
    <t>3714 29 jul</t>
  </si>
  <si>
    <t>4960 30 jul</t>
  </si>
  <si>
    <t>3300 31 jul</t>
  </si>
  <si>
    <t>4400 1 ago</t>
  </si>
  <si>
    <t>15194 3 ago</t>
  </si>
  <si>
    <t>2150 3 ago</t>
  </si>
  <si>
    <t>4120 5 ago</t>
  </si>
  <si>
    <t>2373 9 ago</t>
  </si>
  <si>
    <t>4140 9 ago</t>
  </si>
  <si>
    <t>4000 9 ago</t>
  </si>
  <si>
    <t>3317 10 ago</t>
  </si>
  <si>
    <t>4800 12 abril</t>
  </si>
  <si>
    <t>4000 20 ag0</t>
  </si>
  <si>
    <t>Columna97</t>
  </si>
  <si>
    <t>2200  10 ago</t>
  </si>
  <si>
    <t>pago7</t>
  </si>
  <si>
    <t>2130 14 ago</t>
  </si>
  <si>
    <t xml:space="preserve">3780 15 ago abono agsto y sep </t>
  </si>
  <si>
    <t>2300 15 ago</t>
  </si>
  <si>
    <t>p46 , velo corto perlas , rinolina 6 aros</t>
  </si>
  <si>
    <t>100 17 ago</t>
  </si>
  <si>
    <t>margo kn, mantilla 045, crinolina 3 aos</t>
  </si>
  <si>
    <t>800 17 ago</t>
  </si>
  <si>
    <t>5200 17 ago</t>
  </si>
  <si>
    <t xml:space="preserve">madelyn, velo marry me </t>
  </si>
  <si>
    <t>6100 17 ago</t>
  </si>
  <si>
    <t>2000 17 ago</t>
  </si>
  <si>
    <t>p 105, crinolina 6 aros</t>
  </si>
  <si>
    <t>4500 8 bmarzo</t>
  </si>
  <si>
    <t xml:space="preserve">paola nataly </t>
  </si>
  <si>
    <t xml:space="preserve">vesido p135 liquidacion , cronolina 6 aros </t>
  </si>
  <si>
    <t>adriana gonzalez</t>
  </si>
  <si>
    <t xml:space="preserve">p84,velo largo liso 055, cronolna 6 aros </t>
  </si>
  <si>
    <t>cecilia balladares</t>
  </si>
  <si>
    <t>p25, cinto 009, mantilla 46, tiara 28</t>
  </si>
  <si>
    <t>pago8</t>
  </si>
  <si>
    <t>bella, velo 53 corto de perlas en orilla, mantilla 045, cronolina 6 aros</t>
  </si>
  <si>
    <t>3880 23 aqgo</t>
  </si>
  <si>
    <t>6600 23 ago</t>
  </si>
  <si>
    <t xml:space="preserve">sparkly stock, velo perlas largo </t>
  </si>
  <si>
    <t>8300 24 ago</t>
  </si>
  <si>
    <t>1355 24 ago</t>
  </si>
  <si>
    <t>p84, velo corto liston, crinolina 6 aros, talla extra , hotel</t>
  </si>
  <si>
    <t xml:space="preserve">10950 28 ago </t>
  </si>
  <si>
    <t>300 21 ago</t>
  </si>
  <si>
    <t>3105 27 ago</t>
  </si>
  <si>
    <t>19400 27 ago</t>
  </si>
  <si>
    <t>p136</t>
  </si>
  <si>
    <t>2500 jul 15</t>
  </si>
  <si>
    <t>3500 4sep</t>
  </si>
  <si>
    <t>4000 7 sep</t>
  </si>
  <si>
    <t xml:space="preserve">3000 14 sep </t>
  </si>
  <si>
    <t>silvina gpe mendoza</t>
  </si>
  <si>
    <t>2925 28 ago</t>
  </si>
  <si>
    <t>2790 28 ago</t>
  </si>
  <si>
    <t>3710 30 ago</t>
  </si>
  <si>
    <t>angelica a moctezuma</t>
  </si>
  <si>
    <t>4400 31 ago</t>
  </si>
  <si>
    <t xml:space="preserve">laura torres </t>
  </si>
  <si>
    <t>jazmin, velo marry me, crinolina 6 aros</t>
  </si>
  <si>
    <t xml:space="preserve">p64, mantilla 049, tocado 30, crinolina 3 aros  </t>
  </si>
  <si>
    <t>3880 31 ago</t>
  </si>
  <si>
    <t xml:space="preserve">madelyn, velo corto liston , velo brillos largo. Crnolina 6 </t>
  </si>
  <si>
    <t>mayra elena p116</t>
  </si>
  <si>
    <t>brenda nereyda</t>
  </si>
  <si>
    <t>4100 9 sep</t>
  </si>
  <si>
    <t>2376 9 sep</t>
  </si>
  <si>
    <t>4140 9 sep</t>
  </si>
  <si>
    <t>5000 10 sep</t>
  </si>
  <si>
    <t>1635 11 sep</t>
  </si>
  <si>
    <t>6000 14 sep</t>
  </si>
  <si>
    <t>sharon hinojosa ruiz</t>
  </si>
  <si>
    <t>3500 14 sep</t>
  </si>
  <si>
    <t xml:space="preserve">c </t>
  </si>
  <si>
    <t>7800 19 sep</t>
  </si>
  <si>
    <t>deyanira escobedo</t>
  </si>
  <si>
    <t>2000 18 sep</t>
  </si>
  <si>
    <t>pago9</t>
  </si>
  <si>
    <t>600 18 sep</t>
  </si>
  <si>
    <t>3105 25 sep</t>
  </si>
  <si>
    <t>8280 27 sep</t>
  </si>
  <si>
    <t>cinthia alejandra perez</t>
  </si>
  <si>
    <t>6600 24 sep</t>
  </si>
  <si>
    <t>2880 2 sep</t>
  </si>
  <si>
    <t>p59, cinto 28</t>
  </si>
  <si>
    <t>300 2oct</t>
  </si>
  <si>
    <t>19100 3 oct</t>
  </si>
  <si>
    <t>4400 5 oct</t>
  </si>
  <si>
    <t>3600 5 oct</t>
  </si>
  <si>
    <t>Columna102</t>
  </si>
  <si>
    <t>600 5 oct</t>
  </si>
  <si>
    <t>mariana lizeth mendez</t>
  </si>
  <si>
    <t>p139 muestra, velo corto bordado de perla , crinolina 6 aros</t>
  </si>
  <si>
    <t>5850 18 oct</t>
  </si>
  <si>
    <t>5580 18 oct</t>
  </si>
  <si>
    <t>diana muestra</t>
  </si>
  <si>
    <t>cruz enedelia garcia</t>
  </si>
  <si>
    <t>3133 9 oct</t>
  </si>
  <si>
    <t>10500 90ct</t>
  </si>
  <si>
    <t xml:space="preserve">briana alexandra leos </t>
  </si>
  <si>
    <t>5716 12 oct</t>
  </si>
  <si>
    <t xml:space="preserve">ana crystina ibarra </t>
  </si>
  <si>
    <t>dulce esmeralda franco</t>
  </si>
  <si>
    <t>3150 14 oct</t>
  </si>
  <si>
    <t xml:space="preserve">melisa Amaguer </t>
  </si>
  <si>
    <t>10000 17 oct</t>
  </si>
  <si>
    <t>ana renteria valdes</t>
  </si>
  <si>
    <t>jessica muestra , velo largo escarchado de brillos</t>
  </si>
  <si>
    <t>arlette graciela hernandez</t>
  </si>
  <si>
    <t>2500 19 oct</t>
  </si>
  <si>
    <t>evelyn sauceda</t>
  </si>
  <si>
    <t>5000 21 oct</t>
  </si>
  <si>
    <t>6600 24 oct</t>
  </si>
  <si>
    <t>1000 21 oct</t>
  </si>
  <si>
    <t>2000 24 oct</t>
  </si>
  <si>
    <t>6210  25 oc</t>
  </si>
  <si>
    <t>26 occt</t>
  </si>
  <si>
    <t>yessca angel toxtel</t>
  </si>
  <si>
    <t>valencia</t>
  </si>
  <si>
    <t>2500 26 oct</t>
  </si>
  <si>
    <t>4100 24 sep</t>
  </si>
  <si>
    <t>6300 30 oct</t>
  </si>
  <si>
    <t>3000 1 nov</t>
  </si>
  <si>
    <t xml:space="preserve">p30 liquidacion, crinolina 3 aros </t>
  </si>
  <si>
    <t>4010 24 oct</t>
  </si>
  <si>
    <t xml:space="preserve">p45 muestra , cinto </t>
  </si>
  <si>
    <t>160 27 oct</t>
  </si>
  <si>
    <t>p129 muestra, tiara 22</t>
  </si>
  <si>
    <t>750 2 nov</t>
  </si>
  <si>
    <t>mari cruz martinez</t>
  </si>
  <si>
    <t xml:space="preserve">jazmin </t>
  </si>
  <si>
    <t xml:space="preserve">comentaeios </t>
  </si>
  <si>
    <t>7750 4 nov</t>
  </si>
  <si>
    <t>8000 6 nov</t>
  </si>
  <si>
    <t>3600 6 nov</t>
  </si>
  <si>
    <t>1500 6 nov</t>
  </si>
  <si>
    <t>yedit ovando rivera</t>
  </si>
  <si>
    <t>zaira ysamar martinez</t>
  </si>
  <si>
    <t>7600 12 nov</t>
  </si>
  <si>
    <t>2000 12 nov</t>
  </si>
  <si>
    <t>2500 13 nov</t>
  </si>
  <si>
    <t xml:space="preserve">2925 21 nov </t>
  </si>
  <si>
    <t>2790 21 nov</t>
  </si>
  <si>
    <t>6700 21 no</t>
  </si>
  <si>
    <t>6250 19 nov</t>
  </si>
  <si>
    <t>melissa alejandra de laa cruz</t>
  </si>
  <si>
    <t>p139</t>
  </si>
  <si>
    <t>regalo 3000 en accesorios buen fin</t>
  </si>
  <si>
    <t>regalo 6000 en accesorios buen fin</t>
  </si>
  <si>
    <t>regalo 5000 en accesorios buen fin</t>
  </si>
  <si>
    <t>regalo 3000 en accesorios  buen fin</t>
  </si>
  <si>
    <t>2780 16 nov</t>
  </si>
  <si>
    <t>xiomara yamilet alvarez</t>
  </si>
  <si>
    <t>diana guadalupe lugo</t>
  </si>
  <si>
    <t>keila a. rodriguez</t>
  </si>
  <si>
    <t>10000 20 nov</t>
  </si>
  <si>
    <t>5000 21 nov</t>
  </si>
  <si>
    <t>brizette iliana cazares</t>
  </si>
  <si>
    <t>4100 23 nov</t>
  </si>
  <si>
    <t>8900 28 nov</t>
  </si>
  <si>
    <t>katia michell sanchez</t>
  </si>
  <si>
    <t>p98 muestra, mantilla 016, tiara 022</t>
  </si>
  <si>
    <t xml:space="preserve">anabel,  crinolina </t>
  </si>
  <si>
    <t>1200 30 nov</t>
  </si>
  <si>
    <t>7490 30 nov</t>
  </si>
  <si>
    <t>3300 2 dic</t>
  </si>
  <si>
    <t>nahime mtanous</t>
  </si>
  <si>
    <t>ericka jaqueline lopez</t>
  </si>
  <si>
    <t xml:space="preserve">p64, mntilla 039 </t>
  </si>
  <si>
    <t>5475 5 dic</t>
  </si>
  <si>
    <t>6100 5 dic</t>
  </si>
  <si>
    <t>3600 6 dic</t>
  </si>
  <si>
    <t>andrea daniela arias</t>
  </si>
  <si>
    <t>bella muestra</t>
  </si>
  <si>
    <t>regalo 3 mil para accesorios</t>
  </si>
  <si>
    <t>regalo 2500 parra accesorios</t>
  </si>
  <si>
    <t>2700 9 dic</t>
  </si>
  <si>
    <t>2640 11 dic</t>
  </si>
  <si>
    <t>10530 11 dic</t>
  </si>
  <si>
    <t>mariana alcaraz cedillo</t>
  </si>
  <si>
    <t>regalo 1500 para accesorios</t>
  </si>
  <si>
    <t>2500 14 dic</t>
  </si>
  <si>
    <t>3000 14 dc</t>
  </si>
  <si>
    <t>ana pilar garcia</t>
  </si>
  <si>
    <t>4000 16 dic</t>
  </si>
  <si>
    <t>5000 17 dic</t>
  </si>
  <si>
    <t>3000 17 dic</t>
  </si>
  <si>
    <t>damo kn, capa hanny</t>
  </si>
  <si>
    <t>3000 18 dic</t>
  </si>
  <si>
    <t>3000 19 dic</t>
  </si>
  <si>
    <t>6300 17 dic</t>
  </si>
  <si>
    <t>4680 21 dic</t>
  </si>
  <si>
    <t xml:space="preserve">diana </t>
  </si>
  <si>
    <t>britany sarahi ortiz</t>
  </si>
  <si>
    <t>5000 21 dic</t>
  </si>
  <si>
    <t>5000 13 ene</t>
  </si>
  <si>
    <t>9000 13 ene</t>
  </si>
  <si>
    <t>3500 21 dic</t>
  </si>
  <si>
    <t>6250 27 dic</t>
  </si>
  <si>
    <t>2000 1 ene</t>
  </si>
  <si>
    <t>3300 2 ene</t>
  </si>
  <si>
    <t>6100 6 ene</t>
  </si>
  <si>
    <t>3600 6 ene</t>
  </si>
  <si>
    <t>2700 9ene</t>
  </si>
  <si>
    <t>floricel marquez</t>
  </si>
  <si>
    <t>p139, crinolina 3 aros, cinto 010</t>
  </si>
  <si>
    <t>5475 10 ene</t>
  </si>
  <si>
    <t xml:space="preserve">madelyn </t>
  </si>
  <si>
    <t>yarely olivares manriquez</t>
  </si>
  <si>
    <t>p142 kristina</t>
  </si>
  <si>
    <t xml:space="preserve">7300 dic </t>
  </si>
  <si>
    <t>7300  22 ene</t>
  </si>
  <si>
    <t>2800 15 ene</t>
  </si>
  <si>
    <t>madelyn  crinolina 6 aros</t>
  </si>
  <si>
    <t>1200 16 ene</t>
  </si>
  <si>
    <t>p59, mantilla 045, mantilla 048, tocado 46, crinolina 3 aros</t>
  </si>
  <si>
    <t>Columna103</t>
  </si>
  <si>
    <t>1000 16 ene</t>
  </si>
  <si>
    <t>2220 18 ene</t>
  </si>
  <si>
    <t>bianca yudith alonso</t>
  </si>
  <si>
    <t>p64 con mangas,cinto 28, tiara 45, mantilla 27, crinolina 6 aros</t>
  </si>
  <si>
    <t xml:space="preserve">26500- 1500 = 25000 </t>
  </si>
  <si>
    <t>ana rios</t>
  </si>
  <si>
    <t>p108, tiara 31</t>
  </si>
  <si>
    <t>3000 18 ene</t>
  </si>
  <si>
    <t>tania esmeralda moreno</t>
  </si>
  <si>
    <t>p139, mantilla 011 con brillos,tiara 30, crinolina 3 aros</t>
  </si>
  <si>
    <t>4000 20 ene</t>
  </si>
  <si>
    <t>3834 2 ene</t>
  </si>
  <si>
    <t>6300 7 nov</t>
  </si>
  <si>
    <t>6400 31 ene</t>
  </si>
  <si>
    <t xml:space="preserve">p141 sin olanes, mantilla 039 brillos </t>
  </si>
  <si>
    <t>10000 24 ene</t>
  </si>
  <si>
    <t>5260n24 ene</t>
  </si>
  <si>
    <t>azeret monserrat</t>
  </si>
  <si>
    <t>p128 , capa modelo hanny</t>
  </si>
  <si>
    <t>35000 - 2500 = 32500</t>
  </si>
  <si>
    <t>regalo 2500 para accesorios</t>
  </si>
  <si>
    <t>wendy nohemi ayala</t>
  </si>
  <si>
    <t>jazmin muestra , crinolina 6 aros</t>
  </si>
  <si>
    <t>pago 6</t>
  </si>
  <si>
    <t>1200 31 ene</t>
  </si>
  <si>
    <t xml:space="preserve">martha villalon </t>
  </si>
  <si>
    <t>diana, mantilla 052, tiara 31</t>
  </si>
  <si>
    <t>31000 - 2500 = 28500</t>
  </si>
  <si>
    <t>laura angelica diaz</t>
  </si>
  <si>
    <t xml:space="preserve">p116, crinolina 6 aros </t>
  </si>
  <si>
    <t>1200 1 feb</t>
  </si>
  <si>
    <t>3500 1 feb</t>
  </si>
  <si>
    <t>3100 1 feb</t>
  </si>
  <si>
    <t xml:space="preserve">p97, crinolina 3 aros </t>
  </si>
  <si>
    <t>monserrat martinez</t>
  </si>
  <si>
    <t>valencia muestra, mantilla 039 brillos</t>
  </si>
  <si>
    <t>regalo 2500 paa accesorios</t>
  </si>
  <si>
    <t>ma teresa herandez</t>
  </si>
  <si>
    <t>p136, crinolina 6 aros</t>
  </si>
  <si>
    <t>p132, crinolina 6 aros</t>
  </si>
  <si>
    <t xml:space="preserve">                            </t>
  </si>
  <si>
    <t xml:space="preserve">                                                                                                                                 </t>
  </si>
  <si>
    <t xml:space="preserve">                                                                  </t>
  </si>
  <si>
    <t>lucia ramos</t>
  </si>
  <si>
    <t>5475 8 feb</t>
  </si>
  <si>
    <t>480 8 feb</t>
  </si>
  <si>
    <t xml:space="preserve">jamin, mantilla 011 brillos , crinolina 6 aros, ciinto 29 </t>
  </si>
  <si>
    <t>43700-6000= 37700</t>
  </si>
  <si>
    <t>marian michelle cruz</t>
  </si>
  <si>
    <t>merry yana , antilla 039</t>
  </si>
  <si>
    <t>melissa rangel bustos</t>
  </si>
  <si>
    <t>5000  17 feb</t>
  </si>
  <si>
    <t>3834 3 feb</t>
  </si>
  <si>
    <t xml:space="preserve">p142 kristina </t>
  </si>
  <si>
    <t>3300 4 feb</t>
  </si>
  <si>
    <t>6100 6 feb</t>
  </si>
  <si>
    <t>15000 21 dic</t>
  </si>
  <si>
    <t xml:space="preserve">p128 muestra, capa modelo hanny, velo marry me, crnolina 3 aros , tiara 32 </t>
  </si>
  <si>
    <t>40950-5000= 35950</t>
  </si>
  <si>
    <t xml:space="preserve">5100 7 feb </t>
  </si>
  <si>
    <t>4500 7 feb</t>
  </si>
  <si>
    <t>melissa carranza rodriguez</t>
  </si>
  <si>
    <t xml:space="preserve">p136, crinolina 6 aros </t>
  </si>
  <si>
    <t>17200-1200</t>
  </si>
  <si>
    <t>melissa maynez pardo</t>
  </si>
  <si>
    <t>p139, mantilla 048 una capa</t>
  </si>
  <si>
    <t>17000-1500=1500</t>
  </si>
  <si>
    <t>2750 10 feb</t>
  </si>
  <si>
    <t>aide viridiana gonzalez</t>
  </si>
  <si>
    <t>regalo 3000 para accesorios</t>
  </si>
  <si>
    <t>3000 14 feb</t>
  </si>
  <si>
    <t>3100 15 feb</t>
  </si>
  <si>
    <t>5760 17 feb</t>
  </si>
  <si>
    <t>2000 17 feb</t>
  </si>
  <si>
    <t>4000 18 feb</t>
  </si>
  <si>
    <t>4000 19 feb</t>
  </si>
  <si>
    <t>12500 22 feb</t>
  </si>
  <si>
    <t>1000 22 feb</t>
  </si>
  <si>
    <t>2800 22 feb</t>
  </si>
  <si>
    <t>7300  24 feb</t>
  </si>
  <si>
    <t>3250 25 feb</t>
  </si>
  <si>
    <t>jessica aracely de la garza  cruz</t>
  </si>
  <si>
    <t>4000 1 marz</t>
  </si>
  <si>
    <t>reyna esmeralda mata</t>
  </si>
  <si>
    <t>3100 28 feb</t>
  </si>
  <si>
    <t>1000 26 feb</t>
  </si>
  <si>
    <t>2000 1 marzo</t>
  </si>
  <si>
    <t>lizbeth j. ortiz</t>
  </si>
  <si>
    <t>p145,mantilla 039</t>
  </si>
  <si>
    <t>20500-1500= 19000</t>
  </si>
  <si>
    <t>3834 3 marz</t>
  </si>
  <si>
    <t>1558 4 marz</t>
  </si>
  <si>
    <t>8550 4 marz</t>
  </si>
  <si>
    <t>5000 4 marz</t>
  </si>
  <si>
    <t>4490 18 feb</t>
  </si>
  <si>
    <t>yuliana almaguer</t>
  </si>
  <si>
    <t xml:space="preserve">2700 7 feb </t>
  </si>
  <si>
    <t>2700 8 marz</t>
  </si>
  <si>
    <t>3000 14 marz</t>
  </si>
  <si>
    <t>a mediados de abrial viene a liuidar deja hotel de vestido</t>
  </si>
  <si>
    <t xml:space="preserve">950 7 feb </t>
  </si>
  <si>
    <t>eq</t>
  </si>
  <si>
    <t xml:space="preserve"> 6100 5 marz</t>
  </si>
  <si>
    <t>jazmin mantilla 039, con tul de brillos crinolina 6 aros v</t>
  </si>
  <si>
    <t>2800  24 march</t>
  </si>
  <si>
    <t>5000 31 mar</t>
  </si>
  <si>
    <t>8550 31 mar</t>
  </si>
  <si>
    <t>dee el dia 16 de febrero hasta que lo recoja</t>
  </si>
  <si>
    <t>19500 mas 1750 5%</t>
  </si>
  <si>
    <t>3000 4 marz</t>
  </si>
  <si>
    <t>karime alday nnoriega</t>
  </si>
  <si>
    <t>21000-1500 19500</t>
  </si>
  <si>
    <t>4000 8 marz</t>
  </si>
  <si>
    <t>3000 8 mar</t>
  </si>
  <si>
    <t>2750 10 marz</t>
  </si>
  <si>
    <t>7860 11 marz</t>
  </si>
  <si>
    <t>p49 muestra, bolero</t>
  </si>
  <si>
    <t>4500 13 marz</t>
  </si>
  <si>
    <t>10000 14 marz</t>
  </si>
  <si>
    <t>andrea monserrat</t>
  </si>
  <si>
    <t>fatima lys</t>
  </si>
  <si>
    <t>10990 15 marz</t>
  </si>
  <si>
    <t>rocio gpe muñiz</t>
  </si>
  <si>
    <t>p31 liquidacion</t>
  </si>
  <si>
    <t>6195 15 marz</t>
  </si>
  <si>
    <t>18 marz0 25</t>
  </si>
  <si>
    <t>lizza michelle medellin</t>
  </si>
  <si>
    <t>diana mas 1 metro de cola , velo escarchado</t>
  </si>
  <si>
    <t>2650+3000+5000- 2500= 32000</t>
  </si>
  <si>
    <t>4490 18 marz</t>
  </si>
  <si>
    <t>4000 19 marz</t>
  </si>
  <si>
    <t>valencia, manilla 039, crinolina 3 aros, tiara 44</t>
  </si>
  <si>
    <t>3200 22 marz</t>
  </si>
  <si>
    <t>30500+ 8200 -5000=33700</t>
  </si>
  <si>
    <t>jazmin elizabeth trejo</t>
  </si>
  <si>
    <t>p143</t>
  </si>
  <si>
    <t>7300 22 marz</t>
  </si>
  <si>
    <t>karina lizeth peralta</t>
  </si>
  <si>
    <t>3250 27 marz</t>
  </si>
  <si>
    <t>4500 28 marz</t>
  </si>
  <si>
    <t>doris aguilar reyes</t>
  </si>
  <si>
    <t>p144 muestra</t>
  </si>
  <si>
    <t>yessica yolanda cantu</t>
  </si>
  <si>
    <t>15000+5000+1800-1500= 20300</t>
  </si>
  <si>
    <t>2500  29 mar</t>
  </si>
  <si>
    <t>jenifer estefania garcia</t>
  </si>
  <si>
    <t>p143,mantilla 039</t>
  </si>
  <si>
    <t>15000+5000-1500= 18500</t>
  </si>
  <si>
    <t>1558 31 mar</t>
  </si>
  <si>
    <t>4000 1 abril</t>
  </si>
  <si>
    <t>3100 2 abril</t>
  </si>
  <si>
    <t>3300 3 marzo</t>
  </si>
  <si>
    <t>2000 11 ene</t>
  </si>
  <si>
    <t>4850 3 abril</t>
  </si>
  <si>
    <t>3300 2 abril</t>
  </si>
  <si>
    <t xml:space="preserve">diana,crinolina 6 aros, velo largo </t>
  </si>
  <si>
    <t>1000 7 abril</t>
  </si>
  <si>
    <t>3000 22 abril</t>
  </si>
  <si>
    <t>egal 1500 para accesorios</t>
  </si>
  <si>
    <t>1658 7 abril</t>
  </si>
  <si>
    <t>3900 8 abril</t>
  </si>
  <si>
    <t>3200 8 abril</t>
  </si>
  <si>
    <t>4000 9 abril</t>
  </si>
  <si>
    <t>2750 11 abri</t>
  </si>
  <si>
    <t>5000 9 abril</t>
  </si>
  <si>
    <t>jessica marlene mancilla</t>
  </si>
  <si>
    <t>regalo 2500 paraaccasorios</t>
  </si>
  <si>
    <t>7860 11 abril</t>
  </si>
  <si>
    <t xml:space="preserve">ayme sarahi venegas </t>
  </si>
  <si>
    <t>fernanda denisse rdz</t>
  </si>
  <si>
    <t>p143 muestra, mantilla 039</t>
  </si>
  <si>
    <t>1600 15 abril</t>
  </si>
  <si>
    <t>emily shnneider zamorano</t>
  </si>
  <si>
    <t>winona muestra</t>
  </si>
  <si>
    <t>3000 16 abril</t>
  </si>
  <si>
    <t>879 17 abril</t>
  </si>
  <si>
    <t>12800 18 abril</t>
  </si>
  <si>
    <t>2800 25 abril</t>
  </si>
  <si>
    <t>kenia judth loera</t>
  </si>
  <si>
    <t>7000 24 abril</t>
  </si>
  <si>
    <t>2800 24 abril</t>
  </si>
  <si>
    <t>4500 11 abril</t>
  </si>
  <si>
    <t>4490 26 abril</t>
  </si>
  <si>
    <t>3000 30 ab</t>
  </si>
  <si>
    <t>2600 28 abril</t>
  </si>
  <si>
    <t>5600 28 abril</t>
  </si>
  <si>
    <t>p139, crinolina 3 aros , cinto 10</t>
  </si>
  <si>
    <t>3250 28 abril</t>
  </si>
  <si>
    <t>3700 29 abril</t>
  </si>
  <si>
    <t>itzallana barrientos</t>
  </si>
  <si>
    <t>regaalo 1500 para accesorios</t>
  </si>
  <si>
    <t>sofia gonzalez</t>
  </si>
  <si>
    <t>3100 3 may</t>
  </si>
  <si>
    <t>3775 3 may</t>
  </si>
  <si>
    <t>3850 3 may</t>
  </si>
  <si>
    <t>3900 8 may</t>
  </si>
  <si>
    <t xml:space="preserve">3000 8 may </t>
  </si>
  <si>
    <t>38605 12 may</t>
  </si>
  <si>
    <t xml:space="preserve">15000+1600-1500 15100 </t>
  </si>
  <si>
    <t>12100 10 may</t>
  </si>
  <si>
    <t>3700 16 may</t>
  </si>
  <si>
    <t>3700 23 may</t>
  </si>
  <si>
    <t>pago 32</t>
  </si>
  <si>
    <t>3834 3 ABRIL</t>
  </si>
  <si>
    <t>6000 27 may</t>
  </si>
  <si>
    <t>3200 8 may</t>
  </si>
  <si>
    <t>grecia hernandez</t>
  </si>
  <si>
    <t>velia patricia buenrostro</t>
  </si>
  <si>
    <t>2500 10 may</t>
  </si>
  <si>
    <t>5300 12 may</t>
  </si>
  <si>
    <t xml:space="preserve">7000 12 may </t>
  </si>
  <si>
    <t>7860 12 may</t>
  </si>
  <si>
    <t>3066 13 may</t>
  </si>
  <si>
    <t>1900 14 may</t>
  </si>
  <si>
    <t>heidi hebziba nuñez</t>
  </si>
  <si>
    <t xml:space="preserve">1600 15 may </t>
  </si>
  <si>
    <t>aydee janeth tamez</t>
  </si>
  <si>
    <t>regaalo 3000 para accesorios</t>
  </si>
  <si>
    <t>4500 17 may</t>
  </si>
  <si>
    <t>p130, velo escarchadocrinolinaa 6 aros,</t>
  </si>
  <si>
    <t>1300 17 may</t>
  </si>
  <si>
    <t>p136  , velo 053</t>
  </si>
  <si>
    <t>550 17 may</t>
  </si>
  <si>
    <t>fabiolaa esmeralda lopez</t>
  </si>
  <si>
    <t>3000 21 may</t>
  </si>
  <si>
    <t>8000 24 may</t>
  </si>
  <si>
    <t>3914 26 may</t>
  </si>
  <si>
    <t>3250 26 may</t>
  </si>
  <si>
    <t>perla mireya</t>
  </si>
  <si>
    <t>lilia muestra</t>
  </si>
  <si>
    <t>2600 30 may</t>
  </si>
  <si>
    <t>estefany santiago del angel</t>
  </si>
  <si>
    <t>1800 31 may</t>
  </si>
  <si>
    <t>3700 31 may</t>
  </si>
  <si>
    <t>3500 2 jun</t>
  </si>
  <si>
    <t>2000 2 jun</t>
  </si>
  <si>
    <t>3100 4 jun</t>
  </si>
  <si>
    <t>3775 6 jun</t>
  </si>
  <si>
    <t>22100 6 jun</t>
  </si>
  <si>
    <t>lizbeth alejandra rdz</t>
  </si>
  <si>
    <t xml:space="preserve">p136, velo corto bordado de prlas </t>
  </si>
  <si>
    <t>2900 7 jun</t>
  </si>
  <si>
    <t>3000 7 jun</t>
  </si>
  <si>
    <t>5300 9 jun</t>
  </si>
  <si>
    <t>3900 9 jun</t>
  </si>
  <si>
    <t>p141 muestra,crinolina 6 arosmantilla 027</t>
  </si>
  <si>
    <t xml:space="preserve">1035010 jun </t>
  </si>
  <si>
    <t>4600 10 jun</t>
  </si>
  <si>
    <t>3533 10 jun</t>
  </si>
  <si>
    <t>7000 13 jun</t>
  </si>
  <si>
    <t>1600 14 jun</t>
  </si>
  <si>
    <t>esmeralda cerna</t>
  </si>
  <si>
    <t>3000 16 jun</t>
  </si>
  <si>
    <t>8000 16 jun</t>
  </si>
  <si>
    <t>bella, tocado 46 , crinolina 6 aros</t>
  </si>
  <si>
    <t>200 16 jun</t>
  </si>
  <si>
    <t>4740 17 jun</t>
  </si>
  <si>
    <t>5100 17 jun</t>
  </si>
  <si>
    <t>7600 17jun</t>
  </si>
  <si>
    <t>6138 18 jun</t>
  </si>
  <si>
    <t>9600 20 jun</t>
  </si>
  <si>
    <t>7000 27 jun</t>
  </si>
  <si>
    <t>5000 30 jun</t>
  </si>
  <si>
    <t>3066 28 jun</t>
  </si>
  <si>
    <t>8000 28 jun</t>
  </si>
  <si>
    <t xml:space="preserve">p144,velo corto bordado de perlas , cinto 29, crinolina </t>
  </si>
  <si>
    <t>1100 29 marz</t>
  </si>
  <si>
    <t>3500 5 jul</t>
  </si>
  <si>
    <t>6138 18 jul</t>
  </si>
  <si>
    <t>6600 26 jun</t>
  </si>
  <si>
    <t>leslie yaneth rios</t>
  </si>
  <si>
    <t>jazmin muestra , velo 043</t>
  </si>
  <si>
    <t>2600 28 jun</t>
  </si>
  <si>
    <t>2500 28 jul</t>
  </si>
  <si>
    <t>ericka gonzalez del angel</t>
  </si>
  <si>
    <t>3700 30 jun</t>
  </si>
  <si>
    <t>8000 1 jul</t>
  </si>
  <si>
    <t>8650 2 jul</t>
  </si>
  <si>
    <t>2000 2 jul</t>
  </si>
  <si>
    <t>10000 4 jul</t>
  </si>
  <si>
    <t>3550 4 jul</t>
  </si>
  <si>
    <t>sara herbert hdz</t>
  </si>
  <si>
    <t>5 juio 25</t>
  </si>
  <si>
    <t>jenifer vanessa ordoñez</t>
  </si>
  <si>
    <t xml:space="preserve">geogette sirena </t>
  </si>
  <si>
    <t>natalia corona</t>
  </si>
  <si>
    <t>p56 liquidacion</t>
  </si>
  <si>
    <t>2640 7 jul</t>
  </si>
  <si>
    <t>4450 8 jul</t>
  </si>
  <si>
    <t>1200 8 jul</t>
  </si>
  <si>
    <t>madelyn stock, mantilla 039, crinolina 6 aros</t>
  </si>
  <si>
    <t>diana zuñiga</t>
  </si>
  <si>
    <t>p139, mantilla 003, crinina 6 aros</t>
  </si>
  <si>
    <t>350 10 jul</t>
  </si>
  <si>
    <t>3533 10 jul</t>
  </si>
  <si>
    <t>5100 17 jul</t>
  </si>
  <si>
    <t>3900 11 jul</t>
  </si>
  <si>
    <t>luz del carmen aquino</t>
  </si>
  <si>
    <t>p140</t>
  </si>
  <si>
    <t>6132 12 jul</t>
  </si>
  <si>
    <t>liliana treviño</t>
  </si>
  <si>
    <t>p57 liquidacion</t>
  </si>
  <si>
    <t xml:space="preserve">p95 EL muestra, mantilla 049, crinolina 6 aros, tul </t>
  </si>
  <si>
    <t>13550 14 jul</t>
  </si>
  <si>
    <t>5300 14 jul</t>
  </si>
  <si>
    <t>leslie mejia salazar</t>
  </si>
  <si>
    <t>anabel muestra</t>
  </si>
  <si>
    <t>7100 14 jul</t>
  </si>
  <si>
    <t>1900 15 jul</t>
  </si>
  <si>
    <t>3100 15 jul</t>
  </si>
  <si>
    <t>17000 16 jul</t>
  </si>
  <si>
    <t>5300 16 jul</t>
  </si>
  <si>
    <t>p137 lilia, tiara 001</t>
  </si>
  <si>
    <t>7600 16 jul</t>
  </si>
  <si>
    <t>3000 18 jul</t>
  </si>
  <si>
    <t>950 19 jul</t>
  </si>
  <si>
    <t>500 21 jul</t>
  </si>
  <si>
    <t xml:space="preserve">daniela pesina </t>
  </si>
  <si>
    <t>3350 22 jul</t>
  </si>
  <si>
    <t>raquel lopez</t>
  </si>
  <si>
    <t>p133, mantilla 045, tiara 44</t>
  </si>
  <si>
    <t>valeria v. vaquez briseño</t>
  </si>
  <si>
    <t>3533 24 jul</t>
  </si>
  <si>
    <t>ayla , crinolina 3 aros, mantilla 045</t>
  </si>
  <si>
    <t>p143, crinolina 6 aros, tocado 63</t>
  </si>
  <si>
    <t>mirleth sarely lopez</t>
  </si>
  <si>
    <t>600 25 jul</t>
  </si>
  <si>
    <t>1700 26 jul</t>
  </si>
  <si>
    <t xml:space="preserve">7000 26 jul </t>
  </si>
  <si>
    <t>se hata valido en accesorios lo que dejo</t>
  </si>
  <si>
    <t>3066 2 ago</t>
  </si>
  <si>
    <t>ana cristina cantu</t>
  </si>
  <si>
    <t>jackeline rodriguez herrera</t>
  </si>
  <si>
    <t>p42, mantilla 050</t>
  </si>
  <si>
    <t>3000 31 jul+A12:K12</t>
  </si>
  <si>
    <t>indiana safa</t>
  </si>
  <si>
    <t>madelyn stock</t>
  </si>
  <si>
    <t>12000 2 ago</t>
  </si>
  <si>
    <t>monserrat abigail</t>
  </si>
  <si>
    <t>p71 de liquidacion</t>
  </si>
  <si>
    <t>regalo velo corto liso</t>
  </si>
  <si>
    <t>yessenia zamora salazar</t>
  </si>
  <si>
    <t>p144 straple, mantilla 039 con brillos en tul,  crinolina 6 aros, mantilla 48, tocado 59</t>
  </si>
  <si>
    <t>2800 4 ago</t>
  </si>
  <si>
    <t>1475 5 ago</t>
  </si>
  <si>
    <t>debhani valery landero</t>
  </si>
  <si>
    <t>1950 7 ago</t>
  </si>
  <si>
    <t>p116, lazo 1, crinolina 6 aros,cinto 10</t>
  </si>
  <si>
    <t>regalo mantilla 001 corta</t>
  </si>
  <si>
    <t>5700 8 go</t>
  </si>
  <si>
    <t>p57, liga flor, crinolina 6 aros</t>
  </si>
  <si>
    <t>100 9 ago</t>
  </si>
  <si>
    <t xml:space="preserve">2640 9 ago </t>
  </si>
  <si>
    <t>5300 11 ago</t>
  </si>
  <si>
    <t>1475 11 ago</t>
  </si>
  <si>
    <t>1125 12 ago</t>
  </si>
  <si>
    <t>5000 14 ago</t>
  </si>
  <si>
    <t xml:space="preserve">honora muestra , tocado 44,crinolina </t>
  </si>
  <si>
    <t>p139, crinolina 6 aros,mantilla 045</t>
  </si>
  <si>
    <t>3533 13 sep</t>
  </si>
  <si>
    <t>p144 straple de muestra, mantilla 039</t>
  </si>
  <si>
    <t>3000 31 jul</t>
  </si>
  <si>
    <t>7600 15 ago</t>
  </si>
  <si>
    <t xml:space="preserve">1800 24 jul </t>
  </si>
  <si>
    <t>6138 18 ago</t>
  </si>
  <si>
    <t>5386 19 ago</t>
  </si>
  <si>
    <t>leticia romero</t>
  </si>
  <si>
    <t>p18 de liquidacion</t>
  </si>
  <si>
    <t>2000 22 ago</t>
  </si>
  <si>
    <t>5100  22 ago</t>
  </si>
  <si>
    <t>1800 1 sep</t>
  </si>
  <si>
    <t>8500 26 ago</t>
  </si>
  <si>
    <t>3000 27 ago</t>
  </si>
  <si>
    <t>4500 27 ago</t>
  </si>
  <si>
    <t>9200 28 ago</t>
  </si>
  <si>
    <t>ayla annie victor cliga rinolina 6 , velo 27,</t>
  </si>
  <si>
    <t xml:space="preserve">p143, mantilla 039, velo 038,crinolina 6 </t>
  </si>
  <si>
    <t>1450 29 ago</t>
  </si>
  <si>
    <t>3500 29 ao</t>
  </si>
  <si>
    <t>7000 30 ago</t>
  </si>
  <si>
    <t xml:space="preserve">3070 30 ago </t>
  </si>
  <si>
    <t>3550 30 ago</t>
  </si>
  <si>
    <t>3800 30 ago</t>
  </si>
  <si>
    <t>4600 30 ago</t>
  </si>
  <si>
    <t>5700 1 sep</t>
  </si>
  <si>
    <t>3050 1 sep</t>
  </si>
  <si>
    <t>8400 3 sep</t>
  </si>
  <si>
    <t xml:space="preserve">3000 6 sep </t>
  </si>
  <si>
    <t>4000 6 sep</t>
  </si>
  <si>
    <t>4500 6 sep</t>
  </si>
  <si>
    <t>5700 6 sep</t>
  </si>
  <si>
    <t>5700 9 sep</t>
  </si>
  <si>
    <t>3050 11 sep</t>
  </si>
  <si>
    <t>cassandra guajardo</t>
  </si>
  <si>
    <t>comentarios</t>
  </si>
  <si>
    <t>1575 6 sep</t>
  </si>
  <si>
    <t>1475 19 sep</t>
  </si>
  <si>
    <t>4050 15 sep</t>
  </si>
  <si>
    <t>ajustes pgado</t>
  </si>
  <si>
    <t>pago 7</t>
  </si>
  <si>
    <t>8838 17 sep</t>
  </si>
  <si>
    <t>4500 30 sep</t>
  </si>
  <si>
    <t>p139 crinolinba 6 con puntos</t>
  </si>
  <si>
    <t>1500 4 oct</t>
  </si>
  <si>
    <t>1000 2 ago</t>
  </si>
  <si>
    <t>karla rthel degado</t>
  </si>
  <si>
    <t>yoatzi garza</t>
  </si>
  <si>
    <t>pago 8</t>
  </si>
  <si>
    <t>6000 19 sep</t>
  </si>
  <si>
    <t>5100 20 sep</t>
  </si>
  <si>
    <t>2020 24 sep</t>
  </si>
  <si>
    <t>sofia leos robles</t>
  </si>
  <si>
    <t>5800 27 sep</t>
  </si>
  <si>
    <t>3000 27 sep</t>
  </si>
  <si>
    <t>3600 29 sep</t>
  </si>
  <si>
    <t>p96 liquidacion, crinolina 6</t>
  </si>
  <si>
    <t>1200 2 oct</t>
  </si>
  <si>
    <t>4600 2 oct</t>
  </si>
  <si>
    <t>2300 3 0ct</t>
  </si>
  <si>
    <t>7000 4 oct</t>
  </si>
  <si>
    <t>bereni yissel</t>
  </si>
  <si>
    <t>p97, mantilla 034</t>
  </si>
  <si>
    <t>azalia , mantilla 011</t>
  </si>
  <si>
    <t xml:space="preserve">regalo mantilla 011 5 m </t>
  </si>
  <si>
    <t>madelyn, crinolina 6 aros, , mantilla 039</t>
  </si>
  <si>
    <t>4400  4 oct</t>
  </si>
  <si>
    <t>p139 crinolina 6 aros liga</t>
  </si>
  <si>
    <t>100 6 oct</t>
  </si>
  <si>
    <t>350 7 oct</t>
  </si>
  <si>
    <t>2700 8 0ct</t>
  </si>
  <si>
    <t xml:space="preserve">kimberly lucero rios </t>
  </si>
  <si>
    <t>ella colection, velo corto bordado de perlas , lazo</t>
  </si>
  <si>
    <t>azahlea carolina s</t>
  </si>
  <si>
    <t>raquel berenice</t>
  </si>
  <si>
    <t>geogina hernandez</t>
  </si>
  <si>
    <t>madelyn mas ajustes</t>
  </si>
  <si>
    <t>1800 13 oct</t>
  </si>
  <si>
    <t>3533 14 oct</t>
  </si>
  <si>
    <t>5600 15 oct</t>
  </si>
  <si>
    <t>1200 15 oct</t>
  </si>
  <si>
    <t>priscila pacheco garcia</t>
  </si>
  <si>
    <t>nahomi judith casas</t>
  </si>
  <si>
    <t>veneciana liquidacion</t>
  </si>
  <si>
    <t>7200 18 oct</t>
  </si>
  <si>
    <t>7720 24oct</t>
  </si>
  <si>
    <t>7000 25 oct</t>
  </si>
  <si>
    <t>2020 25 oct</t>
  </si>
  <si>
    <t>5750 25 oc</t>
  </si>
  <si>
    <t>2626 27 oct</t>
  </si>
  <si>
    <t>wendy victoria maldonado</t>
  </si>
  <si>
    <t>roberta martir</t>
  </si>
  <si>
    <t>4600 1 nov</t>
  </si>
  <si>
    <t>p139, crinolina 3 aros</t>
  </si>
  <si>
    <t>11800 1 nov</t>
  </si>
  <si>
    <t>debahni veronica alvarado</t>
  </si>
  <si>
    <t>1700 1 nov</t>
  </si>
  <si>
    <t>zenaida hernandez</t>
  </si>
  <si>
    <t>p20 de liquidaxion , cinto 10, matilla 46</t>
  </si>
  <si>
    <t>5400 3 nov</t>
  </si>
  <si>
    <t>p136, mantilla 039, crinolina3 aros</t>
  </si>
  <si>
    <t>1000 3 nov</t>
  </si>
  <si>
    <t>1800 5 nov</t>
  </si>
  <si>
    <t>denisse davila</t>
  </si>
  <si>
    <t>1270 7 nov</t>
  </si>
  <si>
    <t>karla idalia castillo</t>
  </si>
  <si>
    <t>p139, cinto 29,mantilla 039 con tul de brillos, crinolina 6 aros</t>
  </si>
  <si>
    <t>regalo 3000 para accesoris</t>
  </si>
  <si>
    <t>azalia muestra , velo brollo escrachado crinol</t>
  </si>
  <si>
    <t>3000 10 nov</t>
  </si>
  <si>
    <t>p56, mantilla 039 con tul de brillos , crinolina 3 aros, ,cinto 26</t>
  </si>
  <si>
    <t>4000 11 nov</t>
  </si>
  <si>
    <t>4381 14 nov</t>
  </si>
  <si>
    <t>1175 14 nov</t>
  </si>
  <si>
    <t>3535 15 nov</t>
  </si>
  <si>
    <t>5600 15 nov</t>
  </si>
  <si>
    <t>8890 19 nov</t>
  </si>
  <si>
    <t>p 139</t>
  </si>
  <si>
    <t>2000 25 nov</t>
  </si>
  <si>
    <t>31900 25 nov</t>
  </si>
  <si>
    <t>2629 25 nov</t>
  </si>
  <si>
    <t>5750 26 nov</t>
  </si>
  <si>
    <t>3125 27 nov</t>
  </si>
  <si>
    <t>7625 29 nov</t>
  </si>
  <si>
    <t>evelyn marlene ambros</t>
  </si>
  <si>
    <t>5350 23 oct</t>
  </si>
  <si>
    <t xml:space="preserve">4600 2 dic </t>
  </si>
  <si>
    <t>3200 27 oct</t>
  </si>
  <si>
    <t>1667 1 dic</t>
  </si>
  <si>
    <t>elisa de la rosa cuellar</t>
  </si>
  <si>
    <t>p139, maantilla 039 tul de brillos liga</t>
  </si>
  <si>
    <t>1023 1 dic</t>
  </si>
  <si>
    <t>5400 4 diic</t>
  </si>
  <si>
    <t>jovanna herrera</t>
  </si>
  <si>
    <t>8000 6 dic</t>
  </si>
  <si>
    <t>4666 6 dic</t>
  </si>
  <si>
    <t>2700 8 dic</t>
  </si>
  <si>
    <t>hanny , crinolina 6 aros, lazo</t>
  </si>
  <si>
    <t>1800 9 dic</t>
  </si>
  <si>
    <t>alondra gpe antonio</t>
  </si>
  <si>
    <t>5000  10 dic</t>
  </si>
  <si>
    <t>3500 11 dic</t>
  </si>
  <si>
    <t>11800 13 dic</t>
  </si>
  <si>
    <t>15 di 25</t>
  </si>
  <si>
    <t>4481 15 dic</t>
  </si>
  <si>
    <t>15 dc 25</t>
  </si>
  <si>
    <t>mariana rocio</t>
  </si>
  <si>
    <t>bella de exhibicion</t>
  </si>
  <si>
    <t>2629 17 dic</t>
  </si>
  <si>
    <t>dulce maria bautista</t>
  </si>
  <si>
    <t>adell de  exhibicion</t>
  </si>
  <si>
    <t>j1129, mantilla 017</t>
  </si>
  <si>
    <t>5600 17 dic</t>
  </si>
  <si>
    <t>5000 19 dic</t>
  </si>
  <si>
    <t>yaretze jaelenne</t>
  </si>
  <si>
    <t>ivone abigail monsivais</t>
  </si>
  <si>
    <t>melissa</t>
  </si>
  <si>
    <t>4575 17 ene</t>
  </si>
  <si>
    <t>3125 30 dic</t>
  </si>
  <si>
    <t>4700 6 enero</t>
  </si>
  <si>
    <t>1023 2 ene</t>
  </si>
  <si>
    <t>1667 2 ene</t>
  </si>
  <si>
    <t>2700 8 ene</t>
  </si>
  <si>
    <t>3000 10 ene</t>
  </si>
  <si>
    <t>evelyn yazmin flores</t>
  </si>
  <si>
    <t>p53 , mantilla 045</t>
  </si>
  <si>
    <t>5000 10 ene</t>
  </si>
  <si>
    <t>1800 12 3ne</t>
  </si>
  <si>
    <t>elda abigail martinez</t>
  </si>
  <si>
    <t>4000 13 ene</t>
  </si>
  <si>
    <t>5500 15 ene</t>
  </si>
  <si>
    <t>2400 15 ene</t>
  </si>
  <si>
    <t>laura denise sifuentes</t>
  </si>
  <si>
    <t>s10 de exhibicion</t>
  </si>
  <si>
    <t>5000 16 ene</t>
  </si>
  <si>
    <t>karina elizabeth kiroga</t>
  </si>
  <si>
    <t>2629 17 ene</t>
  </si>
  <si>
    <t>6000 19 ene</t>
  </si>
  <si>
    <t>3500 20 ene</t>
  </si>
  <si>
    <t>8310 24 ene</t>
  </si>
  <si>
    <t>p56  , crinolina 3 aros , liga blanca</t>
  </si>
  <si>
    <t>hannia yamileth rodriguez</t>
  </si>
  <si>
    <t>p146, velo 022</t>
  </si>
  <si>
    <t>alejandra jaime</t>
  </si>
  <si>
    <t>2000 27 ene</t>
  </si>
  <si>
    <t>3125 27 ene</t>
  </si>
  <si>
    <t>500 30 ene</t>
  </si>
  <si>
    <t>1700 31 ene</t>
  </si>
  <si>
    <t>|</t>
  </si>
  <si>
    <t>5400 3 feb</t>
  </si>
  <si>
    <t>guadalupe del angel</t>
  </si>
  <si>
    <t>6000 6 feb</t>
  </si>
  <si>
    <t>adelina , velo con moño</t>
  </si>
  <si>
    <t>laila cristal</t>
  </si>
  <si>
    <t>p40 de liquidacion</t>
  </si>
  <si>
    <t>5000 10 feb</t>
  </si>
  <si>
    <t>3850 10 feb</t>
  </si>
  <si>
    <t xml:space="preserve">5500 11 feb </t>
  </si>
  <si>
    <t>julieta yahaira rdz</t>
  </si>
  <si>
    <t>merry -yana, mantilla 039</t>
  </si>
  <si>
    <t>fatima gatica</t>
  </si>
  <si>
    <t>melissa, mantilla 039</t>
  </si>
  <si>
    <t>jackeline cepeda</t>
  </si>
  <si>
    <t>5600 14 feb</t>
  </si>
  <si>
    <t>p145 de exhibicion crinolina 3 aros, mantlla 016</t>
  </si>
  <si>
    <t>5500 16 feb</t>
  </si>
  <si>
    <t>2400 16 feb</t>
  </si>
  <si>
    <t>3375 17 feb</t>
  </si>
  <si>
    <t>2100 17 feb</t>
  </si>
  <si>
    <t>saffron, tocado 61, crinolina 3 aros , liga blanca</t>
  </si>
  <si>
    <t>2629 23 feb</t>
  </si>
  <si>
    <t>2700 9 feb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</si>
  <si>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l888</t>
  </si>
  <si>
    <t>lizbeth jaqueline villanueva</t>
  </si>
  <si>
    <t>11800 27 feb</t>
  </si>
  <si>
    <t>8000 28 feb</t>
  </si>
  <si>
    <t>7200 1 nov</t>
  </si>
  <si>
    <t>11600 8 dic</t>
  </si>
  <si>
    <t>7600 3 deciembre</t>
  </si>
  <si>
    <t>7500 21 feb</t>
  </si>
  <si>
    <t>1023 30 ne</t>
  </si>
  <si>
    <t>1023 27 feb</t>
  </si>
  <si>
    <t>u</t>
  </si>
  <si>
    <t>3500 20 feb</t>
  </si>
  <si>
    <t>maria del rosario</t>
  </si>
  <si>
    <t>azalia</t>
  </si>
  <si>
    <t>3425 21 feb</t>
  </si>
  <si>
    <t>ivette sarahi cabrera</t>
  </si>
  <si>
    <t xml:space="preserve">melissa </t>
  </si>
  <si>
    <t>2000 21 feb</t>
  </si>
  <si>
    <t>rocio giselle roque</t>
  </si>
  <si>
    <t>noeline, mantilla 41</t>
  </si>
  <si>
    <t>ana valeria valerio</t>
  </si>
  <si>
    <t>3100 23 feb</t>
  </si>
  <si>
    <t>8000 23 feb</t>
  </si>
  <si>
    <t>650 24 feb</t>
  </si>
  <si>
    <t>5900 24 feb</t>
  </si>
  <si>
    <t>Ma lourdes diaz</t>
  </si>
  <si>
    <t>P39, mantilla 45</t>
  </si>
  <si>
    <t>p139, mantilla 46</t>
  </si>
  <si>
    <t>200 24 feb</t>
  </si>
  <si>
    <t>2010 25 feb</t>
  </si>
  <si>
    <t>3125 27 feb</t>
  </si>
  <si>
    <t>mariana hernandez</t>
  </si>
  <si>
    <t>ella</t>
  </si>
  <si>
    <t>nereyda concocoan</t>
  </si>
  <si>
    <t>adelina , tiara 58, cinto 17</t>
  </si>
  <si>
    <t>2800 28 feb</t>
  </si>
  <si>
    <t>p117</t>
  </si>
  <si>
    <t>2084 3 marz</t>
  </si>
  <si>
    <t>4000 4 marz</t>
  </si>
  <si>
    <t xml:space="preserve">p33 de liquidacion mas ajustes, crinolina 6 aros </t>
  </si>
  <si>
    <t>1700 5 marz</t>
  </si>
  <si>
    <t>4470 6 marz</t>
  </si>
  <si>
    <t>1500 7 marz</t>
  </si>
  <si>
    <t>p136, mantilla 045,crinolina 6 aros</t>
  </si>
  <si>
    <t>400 7 marz</t>
  </si>
  <si>
    <t xml:space="preserve">desteny barajas </t>
  </si>
  <si>
    <t>p20 de liquidacion</t>
  </si>
  <si>
    <t>2700 7 marz</t>
  </si>
  <si>
    <t>3125 30 marz</t>
  </si>
  <si>
    <t>5900  9 abril</t>
  </si>
  <si>
    <t>2629 20 marc</t>
  </si>
  <si>
    <t>1400 6 abril</t>
  </si>
  <si>
    <t>17/10/2025+L1A8:M8</t>
  </si>
  <si>
    <t>5000 10 marz</t>
  </si>
  <si>
    <t>6650 11 maz</t>
  </si>
  <si>
    <t>sandra lizeth calderon</t>
  </si>
  <si>
    <t>p68 de liquidacion</t>
  </si>
  <si>
    <t>adiana hernandez</t>
  </si>
  <si>
    <t>p39 de liquidacion</t>
  </si>
  <si>
    <t>9000 14 marz</t>
  </si>
  <si>
    <t>5250 17 marz</t>
  </si>
  <si>
    <t>3375 17 mar</t>
  </si>
  <si>
    <t>2400 17 mar</t>
  </si>
  <si>
    <t>andrea dominguez</t>
  </si>
  <si>
    <t>1000 18 marz</t>
  </si>
  <si>
    <t>100 26 marz</t>
  </si>
  <si>
    <t>4200 19 marz</t>
  </si>
  <si>
    <t>3500 20 marz</t>
  </si>
  <si>
    <t>2000 20 marz</t>
  </si>
  <si>
    <t>5900 20 marz</t>
  </si>
  <si>
    <t>7300 20 marz</t>
  </si>
  <si>
    <t>6000 21 marz</t>
  </si>
  <si>
    <t xml:space="preserve">p86 rachel </t>
  </si>
  <si>
    <t>blanca aracely reyes</t>
  </si>
  <si>
    <t>3500 21 marz</t>
  </si>
  <si>
    <t>4500 24 marz</t>
  </si>
  <si>
    <t>2700 25 marz</t>
  </si>
  <si>
    <t>3500 26 marz</t>
  </si>
  <si>
    <t xml:space="preserve">p142, mantilla 016, tirantes </t>
  </si>
  <si>
    <t>aislin gigdem g</t>
  </si>
  <si>
    <t>carolina vaquera gomez</t>
  </si>
  <si>
    <t>p53, crinolina 6 aros</t>
  </si>
  <si>
    <t>5775 31 marz</t>
  </si>
  <si>
    <t>1023 31 marz</t>
  </si>
  <si>
    <t>p57, velo 027</t>
  </si>
  <si>
    <t>250 2 abril</t>
  </si>
  <si>
    <t>pago 62</t>
  </si>
  <si>
    <t xml:space="preserve">p144 straple, mantilla 016, crinolina 3 </t>
  </si>
  <si>
    <t>3000 6 abril</t>
  </si>
  <si>
    <t>stephani rodriguez</t>
  </si>
  <si>
    <t>6650 11 abril</t>
  </si>
  <si>
    <t>3200 28 marz</t>
  </si>
  <si>
    <t>3375 17 abril</t>
  </si>
  <si>
    <t>america lopez</t>
  </si>
  <si>
    <t>´l</t>
  </si>
  <si>
    <t>5000 23 abril</t>
  </si>
  <si>
    <t xml:space="preserve">480 2 mayo </t>
  </si>
  <si>
    <t>3125 30 abril</t>
  </si>
  <si>
    <t xml:space="preserve">3500 13 abril </t>
  </si>
  <si>
    <t xml:space="preserve">4200 14 abril </t>
  </si>
  <si>
    <t>leslie sofia rodriguez</t>
  </si>
  <si>
    <t xml:space="preserve">2400 17 abril </t>
  </si>
  <si>
    <t>pago 9</t>
  </si>
  <si>
    <t>2629 17 abril</t>
  </si>
  <si>
    <t>1200 17 abril</t>
  </si>
  <si>
    <t>6000 18 abril</t>
  </si>
  <si>
    <t>gloria cecelia gamboa</t>
  </si>
  <si>
    <t xml:space="preserve">2000 21 abril </t>
  </si>
  <si>
    <t>p107, t6cad0 66 , mantilla 41</t>
  </si>
  <si>
    <t xml:space="preserve">4750 22 abril </t>
  </si>
  <si>
    <t>verona tiara 64</t>
  </si>
  <si>
    <t xml:space="preserve">2340 24 abril </t>
  </si>
  <si>
    <t>3500 24 abril</t>
  </si>
  <si>
    <t xml:space="preserve">4500 24 abril </t>
  </si>
  <si>
    <t xml:space="preserve">2000 25 abril </t>
  </si>
  <si>
    <t xml:space="preserve">3000  25 abril  </t>
  </si>
  <si>
    <t xml:space="preserve">2400 25 abril </t>
  </si>
  <si>
    <t>alondra yahaira salazar</t>
  </si>
  <si>
    <t>p139, crinolina 6 aros</t>
  </si>
  <si>
    <t xml:space="preserve">zuralba aguilar </t>
  </si>
  <si>
    <t xml:space="preserve">regalo 1500 para accesorios </t>
  </si>
  <si>
    <t>su1, liga blanca</t>
  </si>
  <si>
    <t>3516 27 abril</t>
  </si>
  <si>
    <t>7300 27 abril</t>
  </si>
  <si>
    <t xml:space="preserve">5000 28 abril </t>
  </si>
  <si>
    <t>4150 28 abril</t>
  </si>
  <si>
    <t>nora debany garcia</t>
  </si>
  <si>
    <t>3800 28 abril</t>
  </si>
  <si>
    <t xml:space="preserve">3500 28 abril </t>
  </si>
  <si>
    <t>2000 29 abril</t>
  </si>
  <si>
    <t>3200 30 abril</t>
  </si>
  <si>
    <t>p47 de liquidacion, crinolina 6 aros</t>
  </si>
  <si>
    <t xml:space="preserve">900 6 may </t>
  </si>
  <si>
    <t>mariana martinez mata</t>
  </si>
  <si>
    <t>j1129, ,mantilla 016 3 aros</t>
  </si>
  <si>
    <t>10000 17 marzo</t>
  </si>
  <si>
    <t>8800 15 abr</t>
  </si>
  <si>
    <t>martha ivonne bazaldua</t>
  </si>
  <si>
    <t>jazmin</t>
  </si>
  <si>
    <t xml:space="preserve">regalo 3000 para accesorios </t>
  </si>
  <si>
    <t xml:space="preserve">p46 liquidacion, crinolina 3 aros </t>
  </si>
  <si>
    <t>melissa, mantilla 039,mantilla 48, tiara 63</t>
  </si>
  <si>
    <t xml:space="preserve">1023 8 may </t>
  </si>
  <si>
    <t>accesorias</t>
  </si>
  <si>
    <t>pago 10</t>
  </si>
  <si>
    <t>200 8 may</t>
  </si>
  <si>
    <t>madelyn mantilla 034, crinolina 6 aros</t>
  </si>
  <si>
    <t>200 28 abril</t>
  </si>
  <si>
    <t>accesorios</t>
  </si>
  <si>
    <t>2400 15 may</t>
  </si>
  <si>
    <t>9000 16 may</t>
  </si>
  <si>
    <t>juieta yahaira</t>
  </si>
  <si>
    <t>merry- yana liquidacion, mantilla 039</t>
  </si>
  <si>
    <t>1000 11 feb</t>
  </si>
  <si>
    <t>melissa , mantilla 039</t>
  </si>
  <si>
    <t>2200 12 feb</t>
  </si>
  <si>
    <t>noeline , mantilla 041</t>
  </si>
  <si>
    <t>ma lourdes diaz</t>
  </si>
  <si>
    <t>5700 18 mayo</t>
  </si>
  <si>
    <t>200 18 mayo</t>
  </si>
  <si>
    <t>nereyda concepcion</t>
  </si>
  <si>
    <t xml:space="preserve">10000 17 marzo  </t>
  </si>
  <si>
    <t>haidee assi hagmaier</t>
  </si>
  <si>
    <t>3300 26 mayo</t>
  </si>
  <si>
    <t>2000 4-abril</t>
  </si>
  <si>
    <t>6650 11-marz</t>
  </si>
  <si>
    <t>6650 11 -abril 6650 11-may</t>
  </si>
  <si>
    <t>4200 19 marzo 4200 14 abril 4000 14 -may</t>
  </si>
  <si>
    <t>9000 14-mar</t>
  </si>
  <si>
    <t>480 2-may</t>
  </si>
  <si>
    <t>7300 20 -marz</t>
  </si>
  <si>
    <t xml:space="preserve"> 7300 27-abril</t>
  </si>
  <si>
    <t>2000 20-mar</t>
  </si>
  <si>
    <t>2000 21 -abri 4000 19-may</t>
  </si>
  <si>
    <t xml:space="preserve"> 2700 25-mar</t>
  </si>
  <si>
    <t>4750 22 -abr</t>
  </si>
  <si>
    <t>5850 16-may</t>
  </si>
  <si>
    <t>4500 24 -mar  4500 23-abril  4500 22-may</t>
  </si>
  <si>
    <t xml:space="preserve"> 3200 28-mar  3200 30-abril</t>
  </si>
  <si>
    <t>6150 23 may</t>
  </si>
  <si>
    <t>4150 27-may</t>
  </si>
  <si>
    <t>pago 42</t>
  </si>
  <si>
    <t>900 18-may</t>
  </si>
  <si>
    <t xml:space="preserve">jazmin,mantilla 039 con tul de brillos ,crinolina 3 aros </t>
  </si>
  <si>
    <t>4000 18-may</t>
  </si>
  <si>
    <t>3850 19-may</t>
  </si>
  <si>
    <t>pago 11</t>
  </si>
  <si>
    <t>1100 22-may</t>
  </si>
  <si>
    <t>9000 23-may</t>
  </si>
  <si>
    <t>3000 23-may</t>
  </si>
  <si>
    <t xml:space="preserve"> 3200 29-may</t>
  </si>
  <si>
    <t>1023 29-may</t>
  </si>
  <si>
    <t>maria fernanda rosalino</t>
  </si>
  <si>
    <t>p57 mantilla 49</t>
  </si>
  <si>
    <t>karina guerra gzz</t>
  </si>
  <si>
    <t>j1191</t>
  </si>
  <si>
    <t>2500 de regalo para accesorios</t>
  </si>
  <si>
    <t>valeria yazmin medina</t>
  </si>
  <si>
    <t>1500 de regalo para accesorios</t>
  </si>
  <si>
    <t>p139 mantilla 039</t>
  </si>
  <si>
    <t>1500 de ragalo en accesorios</t>
  </si>
  <si>
    <t xml:space="preserve"> katia rubi  jauregui</t>
  </si>
  <si>
    <t>1600 30-may</t>
  </si>
  <si>
    <t>p24 liquidacion capa</t>
  </si>
  <si>
    <t>3200 1-jun</t>
  </si>
  <si>
    <t>2200 3-jun</t>
  </si>
  <si>
    <t>3125 30-may</t>
  </si>
  <si>
    <t xml:space="preserve">j1170 muetra tIrantes </t>
  </si>
  <si>
    <t>200 7-jun</t>
  </si>
  <si>
    <t>3900 06-jun</t>
  </si>
  <si>
    <t>2000 25-abril   2000 6-jun</t>
  </si>
  <si>
    <t>3740 5-jun</t>
  </si>
  <si>
    <t>6650 10 -jun</t>
  </si>
  <si>
    <t>3375 6-jun</t>
  </si>
  <si>
    <t>lourdes yesenia</t>
  </si>
  <si>
    <t xml:space="preserve">telefono </t>
  </si>
  <si>
    <t xml:space="preserve">fecha       </t>
  </si>
  <si>
    <t>mikado moño velo largo de perlas velo corto de perlas</t>
  </si>
  <si>
    <t>2500 de regalo</t>
  </si>
  <si>
    <t>mixi barron lopez</t>
  </si>
  <si>
    <t xml:space="preserve">     p139  velo largo liso</t>
  </si>
  <si>
    <t>5000  13 -jun</t>
  </si>
  <si>
    <t>1500 de regalo</t>
  </si>
  <si>
    <t>70 6-jun</t>
  </si>
  <si>
    <t>paola chapa</t>
  </si>
  <si>
    <t>madelyn ,mantilla045,crinolina 6 aros</t>
  </si>
  <si>
    <t>10000 12-jun</t>
  </si>
  <si>
    <t>3000 13-jun</t>
  </si>
  <si>
    <t>3830 13-jun</t>
  </si>
  <si>
    <t>adriana lopez</t>
  </si>
  <si>
    <t>3000 15-jun</t>
  </si>
  <si>
    <t>4400 16-jun</t>
  </si>
  <si>
    <t>2500 17-jun</t>
  </si>
  <si>
    <t>3600 18-jun</t>
  </si>
  <si>
    <t>melissa ,crinolina 6 aros</t>
  </si>
  <si>
    <t>p139,mantilla045 crinolina 6 aros</t>
  </si>
  <si>
    <t>4000 19-jun</t>
  </si>
  <si>
    <t>3000 20-jun</t>
  </si>
  <si>
    <t>karla peña</t>
  </si>
  <si>
    <t>s14 m ,tirantes, crinolina 1 aro</t>
  </si>
  <si>
    <t>intima</t>
  </si>
  <si>
    <t>7200 23-jun</t>
  </si>
  <si>
    <t>350 20-jun</t>
  </si>
  <si>
    <t>10000 21-jun</t>
  </si>
  <si>
    <t>4500 22-jun</t>
  </si>
  <si>
    <t>3200 30 jun</t>
  </si>
  <si>
    <t xml:space="preserve">  </t>
  </si>
  <si>
    <t>4000 30-jun</t>
  </si>
  <si>
    <t>2215 30-jun</t>
  </si>
  <si>
    <t>1200 27-jun</t>
  </si>
  <si>
    <t>5000 27-jun</t>
  </si>
  <si>
    <t>4150 27-jun</t>
  </si>
  <si>
    <t>3125 3-jul</t>
  </si>
  <si>
    <t>15550 4-jul</t>
  </si>
  <si>
    <t>2200 6-jul</t>
  </si>
  <si>
    <t>falta liquidar capa</t>
  </si>
  <si>
    <t>3375 7-jul</t>
  </si>
  <si>
    <t>1100 6-jul</t>
  </si>
  <si>
    <t>5800 7-jul</t>
  </si>
  <si>
    <t>belem orea</t>
  </si>
  <si>
    <t xml:space="preserve"> mantilla 039</t>
  </si>
  <si>
    <t>5100 9-jul</t>
  </si>
  <si>
    <t>azalia m,crinolina 6a ,liga,mantilla 022</t>
  </si>
  <si>
    <t>5600 11-jul</t>
  </si>
  <si>
    <t>3000 13-jul</t>
  </si>
  <si>
    <t>melissa crinolina 6 aros</t>
  </si>
  <si>
    <t>3500 15 jul</t>
  </si>
  <si>
    <t>lucia m mantilla039 tul d brillos crinolina 6 aros</t>
  </si>
  <si>
    <t>2400 17-jul</t>
  </si>
  <si>
    <t>martha guadalupe</t>
  </si>
  <si>
    <t>3000 20-jul</t>
  </si>
  <si>
    <t>1600 20-jul</t>
  </si>
  <si>
    <t>10200 21-jul</t>
  </si>
  <si>
    <t>3050 21-jul</t>
  </si>
  <si>
    <t>10900 23-jul</t>
  </si>
  <si>
    <t>4000 23-jul</t>
  </si>
  <si>
    <t>anna olivares</t>
  </si>
  <si>
    <t>mantilla 039</t>
  </si>
  <si>
    <t xml:space="preserve">      amalia m</t>
  </si>
  <si>
    <t>3000 de regalo accesorios</t>
  </si>
  <si>
    <t>mantilla 45</t>
  </si>
  <si>
    <t>3000 de regalo en accesorios</t>
  </si>
  <si>
    <t>maria isabel</t>
  </si>
  <si>
    <t xml:space="preserve">      j1194</t>
  </si>
  <si>
    <t xml:space="preserve">       melissa</t>
  </si>
  <si>
    <t>daniela mata</t>
  </si>
  <si>
    <t>crinolina 6 a</t>
  </si>
  <si>
    <t xml:space="preserve">     cherry</t>
  </si>
  <si>
    <t>damaris uribe</t>
  </si>
  <si>
    <t>crinolina 3 a</t>
  </si>
  <si>
    <t xml:space="preserve">       ella</t>
  </si>
  <si>
    <t>1500 de regalo en accesorios</t>
  </si>
  <si>
    <t>1000 de regalo en accesorios</t>
  </si>
  <si>
    <t>5775 25-jul</t>
  </si>
  <si>
    <t>11550 6-jun</t>
  </si>
  <si>
    <t>5775 31-marz</t>
  </si>
  <si>
    <t>2800 28-2</t>
  </si>
  <si>
    <t>4150 28-jul</t>
  </si>
  <si>
    <t>3300 25-jul</t>
  </si>
  <si>
    <t>5100 25-jul</t>
  </si>
  <si>
    <t>3800 31-jul</t>
  </si>
  <si>
    <t>2215 30-jul</t>
  </si>
  <si>
    <t>p136- crinolina 6 aros</t>
  </si>
  <si>
    <t>3200 1-jul</t>
  </si>
  <si>
    <t>200 1-ago</t>
  </si>
  <si>
    <t>11600 31-jul</t>
  </si>
  <si>
    <t>alejandra sanchez</t>
  </si>
  <si>
    <t>himelda rivera</t>
  </si>
  <si>
    <r>
      <t>ti</t>
    </r>
    <r>
      <rPr>
        <sz val="11"/>
        <color theme="1"/>
        <rFont val="Calibri"/>
        <family val="2"/>
        <scheme val="minor"/>
      </rPr>
      <t>tiara63</t>
    </r>
  </si>
  <si>
    <t>100 1-ago</t>
  </si>
  <si>
    <t>2200  5-ago</t>
  </si>
  <si>
    <t>3400 6-jul</t>
  </si>
  <si>
    <t>2400 18-jun</t>
  </si>
  <si>
    <t>5500 18-ago</t>
  </si>
  <si>
    <t>abigail mancilla</t>
  </si>
  <si>
    <t>cherry</t>
  </si>
  <si>
    <t>7200 24-ago</t>
  </si>
  <si>
    <t>5400 18-ago</t>
  </si>
  <si>
    <t>3300 18-ago</t>
  </si>
  <si>
    <t>3000 14-ago</t>
  </si>
  <si>
    <t>4200 11-ago</t>
  </si>
  <si>
    <r>
      <t>c</t>
    </r>
    <r>
      <rPr>
        <sz val="11"/>
        <color theme="1"/>
        <rFont val="Calibri"/>
        <family val="2"/>
        <scheme val="minor"/>
      </rPr>
      <t>tiara66</t>
    </r>
  </si>
  <si>
    <t>3280 14-ago</t>
  </si>
  <si>
    <t>7000 22-ago</t>
  </si>
  <si>
    <t>250 25-ago</t>
  </si>
  <si>
    <t>1830 20-ago</t>
  </si>
  <si>
    <t>4000 31-jul</t>
  </si>
  <si>
    <t>4000 31-ago</t>
  </si>
  <si>
    <t>2215  31-ago</t>
  </si>
  <si>
    <t>2500 11-ago</t>
  </si>
  <si>
    <t>crinolina 3 aros tiara 66</t>
  </si>
  <si>
    <t>4375 29-ago</t>
  </si>
  <si>
    <t>mantilla o39</t>
  </si>
  <si>
    <t>doris encinia</t>
  </si>
  <si>
    <t>crinolina 3 aros</t>
  </si>
  <si>
    <t>johanna jaquelin</t>
  </si>
  <si>
    <t>amaranta</t>
  </si>
  <si>
    <t>5100 4-sept</t>
  </si>
  <si>
    <t>1023 27-jul</t>
  </si>
  <si>
    <t>1023  31-ago</t>
  </si>
  <si>
    <t>120000 4-sept</t>
  </si>
  <si>
    <t xml:space="preserve"> cherry mantilla 039</t>
  </si>
  <si>
    <t>3200 4-sep</t>
  </si>
  <si>
    <t>1920 29-ago</t>
  </si>
  <si>
    <t>3200 31-jul</t>
  </si>
  <si>
    <t xml:space="preserve">   </t>
  </si>
  <si>
    <t>p140, cinto 29 vlo 56</t>
  </si>
  <si>
    <t>g</t>
  </si>
  <si>
    <t>3280 15-jul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</si>
</sst>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Arial Black"/>
      <family val="2"/>
    </font>
    <font>
      <sz val="11"/>
      <color theme="1"/>
      <name val="Arial Black"/>
      <family val="2"/>
    </font>
    <font>
      <sz val="10"/>
      <color theme="0"/>
      <name val="Arial Black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6D9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16" fontId="0" fillId="0" borderId="1" xfId="0" applyNumberFormat="1" applyBorder="1"/>
    <xf numFmtId="17" fontId="0" fillId="0" borderId="1" xfId="0" applyNumberFormat="1" applyBorder="1"/>
    <xf numFmtId="0" fontId="0" fillId="2" borderId="1" xfId="0" applyFill="1" applyBorder="1"/>
    <xf numFmtId="16" fontId="0" fillId="2" borderId="1" xfId="0" applyNumberFormat="1" applyFill="1" applyBorder="1"/>
    <xf numFmtId="17" fontId="0" fillId="2" borderId="1" xfId="0" applyNumberFormat="1" applyFill="1" applyBorder="1"/>
    <xf numFmtId="15" fontId="0" fillId="0" borderId="1" xfId="0" applyNumberFormat="1" applyBorder="1"/>
    <xf numFmtId="15" fontId="0" fillId="2" borderId="1" xfId="0" applyNumberFormat="1" applyFill="1" applyBorder="1"/>
    <xf numFmtId="0" fontId="0" fillId="4" borderId="0" xfId="0" applyFill="1"/>
    <xf numFmtId="0" fontId="0" fillId="4" borderId="1" xfId="0" applyFill="1" applyBorder="1"/>
    <xf numFmtId="16" fontId="0" fillId="2" borderId="2" xfId="0" applyNumberFormat="1" applyFill="1" applyBorder="1"/>
    <xf numFmtId="0" fontId="0" fillId="2" borderId="2" xfId="0" applyFill="1" applyBorder="1"/>
    <xf numFmtId="15" fontId="0" fillId="2" borderId="2" xfId="0" applyNumberFormat="1" applyFill="1" applyBorder="1"/>
    <xf numFmtId="3" fontId="0" fillId="2" borderId="2" xfId="0" applyNumberFormat="1" applyFill="1" applyBorder="1"/>
    <xf numFmtId="0" fontId="0" fillId="3" borderId="0" xfId="0" applyFill="1"/>
    <xf numFmtId="16" fontId="0" fillId="0" borderId="0" xfId="0" applyNumberFormat="1"/>
    <xf numFmtId="15" fontId="0" fillId="0" borderId="0" xfId="0" applyNumberFormat="1"/>
    <xf numFmtId="16" fontId="0" fillId="3" borderId="0" xfId="0" applyNumberFormat="1" applyFill="1"/>
    <xf numFmtId="15" fontId="0" fillId="3" borderId="0" xfId="0" applyNumberFormat="1" applyFill="1"/>
    <xf numFmtId="3" fontId="0" fillId="3" borderId="0" xfId="0" applyNumberFormat="1" applyFill="1"/>
    <xf numFmtId="16" fontId="0" fillId="4" borderId="2" xfId="0" applyNumberFormat="1" applyFill="1" applyBorder="1"/>
    <xf numFmtId="0" fontId="0" fillId="4" borderId="2" xfId="0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6" fontId="0" fillId="4" borderId="1" xfId="0" applyNumberFormat="1" applyFill="1" applyBorder="1" applyAlignment="1">
      <alignment horizontal="left"/>
    </xf>
    <xf numFmtId="15" fontId="0" fillId="4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16" fontId="0" fillId="2" borderId="1" xfId="0" applyNumberFormat="1" applyFill="1" applyBorder="1" applyAlignment="1">
      <alignment horizontal="left"/>
    </xf>
    <xf numFmtId="0" fontId="0" fillId="0" borderId="3" xfId="0" applyBorder="1"/>
    <xf numFmtId="6" fontId="0" fillId="2" borderId="1" xfId="0" applyNumberFormat="1" applyFill="1" applyBorder="1"/>
    <xf numFmtId="3" fontId="0" fillId="2" borderId="1" xfId="0" applyNumberFormat="1" applyFill="1" applyBorder="1"/>
    <xf numFmtId="16" fontId="0" fillId="4" borderId="1" xfId="0" applyNumberFormat="1" applyFill="1" applyBorder="1"/>
    <xf numFmtId="0" fontId="0" fillId="2" borderId="3" xfId="0" applyFill="1" applyBorder="1"/>
    <xf numFmtId="16" fontId="0" fillId="2" borderId="0" xfId="0" applyNumberFormat="1" applyFill="1"/>
    <xf numFmtId="0" fontId="0" fillId="2" borderId="0" xfId="0" applyFill="1"/>
    <xf numFmtId="16" fontId="1" fillId="4" borderId="1" xfId="0" applyNumberFormat="1" applyFont="1" applyFill="1" applyBorder="1"/>
    <xf numFmtId="0" fontId="1" fillId="4" borderId="1" xfId="0" applyFont="1" applyFill="1" applyBorder="1"/>
    <xf numFmtId="16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wrapText="1"/>
    </xf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 applyAlignment="1">
      <alignment horizontal="left"/>
    </xf>
    <xf numFmtId="17" fontId="0" fillId="4" borderId="1" xfId="0" applyNumberFormat="1" applyFill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15" fontId="0" fillId="2" borderId="0" xfId="0" applyNumberFormat="1" applyFill="1" applyAlignment="1">
      <alignment horizontal="center"/>
    </xf>
    <xf numFmtId="15" fontId="0" fillId="2" borderId="0" xfId="0" applyNumberFormat="1" applyFill="1"/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3" borderId="1" xfId="0" applyFill="1" applyBorder="1"/>
    <xf numFmtId="49" fontId="0" fillId="4" borderId="1" xfId="0" applyNumberFormat="1" applyFill="1" applyBorder="1"/>
    <xf numFmtId="49" fontId="0" fillId="2" borderId="1" xfId="0" applyNumberFormat="1" applyFill="1" applyBorder="1"/>
    <xf numFmtId="0" fontId="0" fillId="0" borderId="5" xfId="0" applyBorder="1"/>
    <xf numFmtId="0" fontId="0" fillId="2" borderId="5" xfId="0" applyFill="1" applyBorder="1"/>
    <xf numFmtId="0" fontId="0" fillId="5" borderId="3" xfId="0" applyFill="1" applyBorder="1"/>
    <xf numFmtId="0" fontId="2" fillId="6" borderId="1" xfId="0" applyFont="1" applyFill="1" applyBorder="1"/>
    <xf numFmtId="0" fontId="3" fillId="5" borderId="3" xfId="0" applyFont="1" applyFill="1" applyBorder="1"/>
    <xf numFmtId="0" fontId="4" fillId="6" borderId="1" xfId="0" applyFont="1" applyFill="1" applyBorder="1"/>
    <xf numFmtId="0" fontId="0" fillId="5" borderId="0" xfId="0" applyFill="1"/>
    <xf numFmtId="0" fontId="2" fillId="5" borderId="3" xfId="0" applyFont="1" applyFill="1" applyBorder="1"/>
    <xf numFmtId="0" fontId="2" fillId="6" borderId="5" xfId="0" applyFont="1" applyFill="1" applyBorder="1"/>
    <xf numFmtId="0" fontId="0" fillId="5" borderId="1" xfId="0" applyFill="1" applyBorder="1"/>
    <xf numFmtId="17" fontId="0" fillId="2" borderId="0" xfId="0" applyNumberFormat="1" applyFill="1"/>
    <xf numFmtId="0" fontId="4" fillId="6" borderId="2" xfId="0" applyFont="1" applyFill="1" applyBorder="1"/>
    <xf numFmtId="0" fontId="0" fillId="4" borderId="5" xfId="0" applyFill="1" applyBorder="1"/>
    <xf numFmtId="0" fontId="3" fillId="5" borderId="1" xfId="0" applyFont="1" applyFill="1" applyBorder="1"/>
    <xf numFmtId="0" fontId="0" fillId="0" borderId="2" xfId="0" applyBorder="1"/>
    <xf numFmtId="0" fontId="3" fillId="5" borderId="2" xfId="0" applyFont="1" applyFill="1" applyBorder="1"/>
    <xf numFmtId="0" fontId="5" fillId="6" borderId="0" xfId="0" applyFont="1" applyFill="1"/>
    <xf numFmtId="0" fontId="5" fillId="6" borderId="1" xfId="0" applyFont="1" applyFill="1" applyBorder="1"/>
    <xf numFmtId="15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right"/>
    </xf>
    <xf numFmtId="15" fontId="0" fillId="7" borderId="6" xfId="0" applyNumberFormat="1" applyFill="1" applyBorder="1"/>
    <xf numFmtId="0" fontId="0" fillId="7" borderId="6" xfId="0" applyFill="1" applyBorder="1"/>
    <xf numFmtId="0" fontId="0" fillId="7" borderId="6" xfId="0" applyFill="1" applyBorder="1" applyAlignment="1">
      <alignment horizontal="left"/>
    </xf>
    <xf numFmtId="0" fontId="0" fillId="7" borderId="6" xfId="0" applyFill="1" applyBorder="1" applyAlignment="1">
      <alignment horizontal="right"/>
    </xf>
    <xf numFmtId="17" fontId="0" fillId="7" borderId="6" xfId="0" applyNumberFormat="1" applyFill="1" applyBorder="1"/>
    <xf numFmtId="0" fontId="0" fillId="7" borderId="1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/>
    </xf>
    <xf numFmtId="0" fontId="6" fillId="0" borderId="0" xfId="0" applyFont="1"/>
    <xf numFmtId="16" fontId="0" fillId="7" borderId="1" xfId="0" applyNumberFormat="1" applyFill="1" applyBorder="1"/>
    <xf numFmtId="15" fontId="1" fillId="4" borderId="1" xfId="0" applyNumberFormat="1" applyFont="1" applyFill="1" applyBorder="1"/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4" fontId="0" fillId="0" borderId="0" xfId="1" applyFont="1"/>
    <xf numFmtId="0" fontId="0" fillId="8" borderId="0" xfId="0" applyFill="1"/>
    <xf numFmtId="44" fontId="0" fillId="8" borderId="0" xfId="1" applyFont="1" applyFill="1"/>
    <xf numFmtId="44" fontId="0" fillId="2" borderId="0" xfId="1" applyFont="1" applyFill="1"/>
    <xf numFmtId="0" fontId="8" fillId="6" borderId="1" xfId="0" applyFont="1" applyFill="1" applyBorder="1" applyAlignment="1">
      <alignment horizontal="center"/>
    </xf>
    <xf numFmtId="16" fontId="0" fillId="4" borderId="0" xfId="0" applyNumberFormat="1" applyFill="1"/>
    <xf numFmtId="44" fontId="0" fillId="4" borderId="0" xfId="1" applyFont="1" applyFill="1"/>
    <xf numFmtId="0" fontId="9" fillId="6" borderId="1" xfId="0" applyFont="1" applyFill="1" applyBorder="1"/>
    <xf numFmtId="0" fontId="10" fillId="2" borderId="1" xfId="0" applyFont="1" applyFill="1" applyBorder="1"/>
    <xf numFmtId="0" fontId="10" fillId="4" borderId="1" xfId="0" applyFont="1" applyFill="1" applyBorder="1"/>
    <xf numFmtId="0" fontId="10" fillId="0" borderId="1" xfId="0" applyFont="1" applyBorder="1"/>
    <xf numFmtId="0" fontId="10" fillId="0" borderId="0" xfId="0" applyFont="1"/>
    <xf numFmtId="44" fontId="0" fillId="2" borderId="1" xfId="1" applyFont="1" applyFill="1" applyBorder="1"/>
    <xf numFmtId="6" fontId="0" fillId="4" borderId="1" xfId="0" applyNumberFormat="1" applyFill="1" applyBorder="1"/>
    <xf numFmtId="164" fontId="0" fillId="0" borderId="0" xfId="0" applyNumberFormat="1"/>
    <xf numFmtId="0" fontId="8" fillId="9" borderId="7" xfId="0" applyFont="1" applyFill="1" applyBorder="1"/>
    <xf numFmtId="44" fontId="8" fillId="9" borderId="8" xfId="1" applyFont="1" applyFill="1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6" fontId="0" fillId="11" borderId="7" xfId="0" applyNumberFormat="1" applyFill="1" applyBorder="1"/>
    <xf numFmtId="2" fontId="0" fillId="0" borderId="0" xfId="0" applyNumberFormat="1" applyProtection="1">
      <protection locked="0"/>
    </xf>
    <xf numFmtId="4" fontId="8" fillId="9" borderId="7" xfId="0" applyNumberFormat="1" applyFont="1" applyFill="1" applyBorder="1" applyProtection="1">
      <protection locked="0"/>
    </xf>
    <xf numFmtId="4" fontId="0" fillId="11" borderId="8" xfId="1" applyNumberFormat="1" applyFont="1" applyFill="1" applyBorder="1" applyProtection="1">
      <protection locked="0"/>
    </xf>
    <xf numFmtId="4" fontId="0" fillId="2" borderId="8" xfId="1" applyNumberFormat="1" applyFont="1" applyFill="1" applyBorder="1" applyProtection="1">
      <protection locked="0"/>
    </xf>
    <xf numFmtId="4" fontId="0" fillId="0" borderId="0" xfId="1" applyNumberFormat="1" applyFont="1" applyProtection="1">
      <protection locked="0"/>
    </xf>
    <xf numFmtId="2" fontId="0" fillId="0" borderId="0" xfId="0" applyNumberFormat="1"/>
    <xf numFmtId="4" fontId="0" fillId="2" borderId="9" xfId="1" applyNumberFormat="1" applyFont="1" applyFill="1" applyBorder="1" applyProtection="1">
      <protection locked="0"/>
    </xf>
    <xf numFmtId="0" fontId="8" fillId="9" borderId="10" xfId="0" applyFont="1" applyFill="1" applyBorder="1"/>
    <xf numFmtId="2" fontId="8" fillId="9" borderId="10" xfId="0" applyNumberFormat="1" applyFont="1" applyFill="1" applyBorder="1"/>
    <xf numFmtId="44" fontId="8" fillId="9" borderId="10" xfId="1" applyFont="1" applyFill="1" applyBorder="1"/>
    <xf numFmtId="0" fontId="8" fillId="9" borderId="11" xfId="0" applyFont="1" applyFill="1" applyBorder="1"/>
    <xf numFmtId="2" fontId="8" fillId="9" borderId="11" xfId="0" applyNumberFormat="1" applyFont="1" applyFill="1" applyBorder="1" applyProtection="1">
      <protection locked="0"/>
    </xf>
    <xf numFmtId="44" fontId="8" fillId="9" borderId="11" xfId="1" applyFont="1" applyFill="1" applyBorder="1"/>
    <xf numFmtId="0" fontId="0" fillId="11" borderId="1" xfId="0" applyFill="1" applyBorder="1"/>
    <xf numFmtId="2" fontId="0" fillId="11" borderId="1" xfId="0" applyNumberFormat="1" applyFill="1" applyBorder="1" applyProtection="1">
      <protection locked="0"/>
    </xf>
    <xf numFmtId="44" fontId="0" fillId="11" borderId="1" xfId="1" applyFont="1" applyFill="1" applyBorder="1"/>
    <xf numFmtId="2" fontId="0" fillId="2" borderId="1" xfId="0" applyNumberFormat="1" applyFill="1" applyBorder="1" applyProtection="1">
      <protection locked="0"/>
    </xf>
    <xf numFmtId="44" fontId="0" fillId="10" borderId="1" xfId="1" applyFont="1" applyFill="1" applyBorder="1"/>
    <xf numFmtId="4" fontId="0" fillId="11" borderId="9" xfId="1" applyNumberFormat="1" applyFont="1" applyFill="1" applyBorder="1" applyProtection="1">
      <protection locked="0"/>
    </xf>
    <xf numFmtId="0" fontId="0" fillId="11" borderId="11" xfId="0" applyFill="1" applyBorder="1"/>
    <xf numFmtId="44" fontId="0" fillId="11" borderId="11" xfId="1" applyFont="1" applyFill="1" applyBorder="1"/>
    <xf numFmtId="0" fontId="0" fillId="11" borderId="7" xfId="0" applyFill="1" applyBorder="1"/>
    <xf numFmtId="44" fontId="0" fillId="11" borderId="7" xfId="1" applyFont="1" applyFill="1" applyBorder="1"/>
    <xf numFmtId="0" fontId="0" fillId="10" borderId="3" xfId="0" applyFill="1" applyBorder="1"/>
    <xf numFmtId="0" fontId="0" fillId="10" borderId="15" xfId="0" applyFill="1" applyBorder="1"/>
    <xf numFmtId="0" fontId="0" fillId="10" borderId="2" xfId="0" applyFill="1" applyBorder="1"/>
    <xf numFmtId="0" fontId="0" fillId="10" borderId="16" xfId="0" applyFill="1" applyBorder="1"/>
    <xf numFmtId="0" fontId="1" fillId="10" borderId="12" xfId="0" applyFont="1" applyFill="1" applyBorder="1"/>
    <xf numFmtId="0" fontId="1" fillId="10" borderId="13" xfId="0" applyFont="1" applyFill="1" applyBorder="1"/>
    <xf numFmtId="0" fontId="1" fillId="10" borderId="14" xfId="0" applyFont="1" applyFill="1" applyBorder="1"/>
    <xf numFmtId="0" fontId="12" fillId="10" borderId="13" xfId="0" applyFont="1" applyFill="1" applyBorder="1"/>
    <xf numFmtId="0" fontId="12" fillId="10" borderId="14" xfId="0" applyFont="1" applyFill="1" applyBorder="1"/>
    <xf numFmtId="4" fontId="0" fillId="2" borderId="0" xfId="0" applyNumberFormat="1" applyFill="1"/>
    <xf numFmtId="16" fontId="0" fillId="11" borderId="15" xfId="0" applyNumberFormat="1" applyFill="1" applyBorder="1"/>
    <xf numFmtId="0" fontId="0" fillId="11" borderId="2" xfId="0" applyFill="1" applyBorder="1"/>
    <xf numFmtId="0" fontId="0" fillId="11" borderId="16" xfId="0" applyFill="1" applyBorder="1"/>
    <xf numFmtId="0" fontId="12" fillId="10" borderId="2" xfId="0" applyFont="1" applyFill="1" applyBorder="1"/>
    <xf numFmtId="0" fontId="12" fillId="10" borderId="16" xfId="0" applyFont="1" applyFill="1" applyBorder="1"/>
    <xf numFmtId="16" fontId="0" fillId="2" borderId="7" xfId="0" applyNumberFormat="1" applyFill="1" applyBorder="1"/>
    <xf numFmtId="0" fontId="0" fillId="2" borderId="7" xfId="0" applyFill="1" applyBorder="1"/>
    <xf numFmtId="44" fontId="0" fillId="2" borderId="7" xfId="1" applyFont="1" applyFill="1" applyBorder="1"/>
    <xf numFmtId="0" fontId="0" fillId="11" borderId="10" xfId="0" applyFill="1" applyBorder="1"/>
    <xf numFmtId="0" fontId="0" fillId="11" borderId="3" xfId="0" applyFill="1" applyBorder="1"/>
    <xf numFmtId="15" fontId="0" fillId="11" borderId="11" xfId="0" applyNumberFormat="1" applyFill="1" applyBorder="1"/>
    <xf numFmtId="15" fontId="0" fillId="4" borderId="0" xfId="0" applyNumberFormat="1" applyFill="1"/>
    <xf numFmtId="0" fontId="12" fillId="10" borderId="3" xfId="0" applyFont="1" applyFill="1" applyBorder="1"/>
    <xf numFmtId="0" fontId="12" fillId="10" borderId="4" xfId="0" applyFont="1" applyFill="1" applyBorder="1"/>
    <xf numFmtId="0" fontId="0" fillId="11" borderId="0" xfId="0" applyFill="1"/>
    <xf numFmtId="0" fontId="0" fillId="2" borderId="0" xfId="0" applyFill="1" applyAlignment="1">
      <alignment horizontal="left"/>
    </xf>
    <xf numFmtId="0" fontId="12" fillId="10" borderId="17" xfId="0" applyFont="1" applyFill="1" applyBorder="1"/>
    <xf numFmtId="0" fontId="12" fillId="10" borderId="18" xfId="0" applyFont="1" applyFill="1" applyBorder="1"/>
    <xf numFmtId="16" fontId="0" fillId="12" borderId="15" xfId="0" applyNumberFormat="1" applyFill="1" applyBorder="1"/>
    <xf numFmtId="0" fontId="0" fillId="12" borderId="2" xfId="0" applyFill="1" applyBorder="1"/>
    <xf numFmtId="0" fontId="0" fillId="12" borderId="16" xfId="0" applyFill="1" applyBorder="1"/>
    <xf numFmtId="0" fontId="0" fillId="10" borderId="1" xfId="0" applyFill="1" applyBorder="1"/>
    <xf numFmtId="0" fontId="0" fillId="12" borderId="1" xfId="0" applyFill="1" applyBorder="1"/>
    <xf numFmtId="16" fontId="0" fillId="11" borderId="2" xfId="0" applyNumberFormat="1" applyFill="1" applyBorder="1"/>
    <xf numFmtId="0" fontId="0" fillId="11" borderId="4" xfId="0" applyFill="1" applyBorder="1"/>
    <xf numFmtId="0" fontId="12" fillId="10" borderId="21" xfId="0" applyFont="1" applyFill="1" applyBorder="1"/>
    <xf numFmtId="15" fontId="1" fillId="11" borderId="19" xfId="0" applyNumberFormat="1" applyFont="1" applyFill="1" applyBorder="1"/>
    <xf numFmtId="0" fontId="1" fillId="11" borderId="19" xfId="0" applyFont="1" applyFill="1" applyBorder="1"/>
    <xf numFmtId="0" fontId="12" fillId="11" borderId="19" xfId="0" applyFont="1" applyFill="1" applyBorder="1"/>
    <xf numFmtId="0" fontId="12" fillId="11" borderId="20" xfId="0" applyFont="1" applyFill="1" applyBorder="1"/>
    <xf numFmtId="0" fontId="12" fillId="10" borderId="23" xfId="0" applyFont="1" applyFill="1" applyBorder="1"/>
    <xf numFmtId="3" fontId="0" fillId="2" borderId="0" xfId="0" applyNumberFormat="1" applyFill="1"/>
    <xf numFmtId="15" fontId="0" fillId="2" borderId="22" xfId="0" applyNumberFormat="1" applyFill="1" applyBorder="1"/>
    <xf numFmtId="0" fontId="12" fillId="10" borderId="10" xfId="0" applyFont="1" applyFill="1" applyBorder="1"/>
    <xf numFmtId="0" fontId="0" fillId="4" borderId="15" xfId="0" applyFill="1" applyBorder="1"/>
    <xf numFmtId="0" fontId="0" fillId="4" borderId="16" xfId="0" applyFill="1" applyBorder="1"/>
    <xf numFmtId="0" fontId="12" fillId="10" borderId="24" xfId="0" applyFont="1" applyFill="1" applyBorder="1"/>
    <xf numFmtId="15" fontId="0" fillId="2" borderId="15" xfId="0" applyNumberFormat="1" applyFill="1" applyBorder="1"/>
    <xf numFmtId="0" fontId="0" fillId="2" borderId="16" xfId="0" applyFill="1" applyBorder="1"/>
    <xf numFmtId="0" fontId="0" fillId="0" borderId="13" xfId="0" applyBorder="1"/>
    <xf numFmtId="0" fontId="12" fillId="10" borderId="0" xfId="0" applyFont="1" applyFill="1"/>
    <xf numFmtId="0" fontId="12" fillId="10" borderId="1" xfId="0" applyFont="1" applyFill="1" applyBorder="1"/>
    <xf numFmtId="0" fontId="13" fillId="2" borderId="0" xfId="0" applyFont="1" applyFill="1"/>
    <xf numFmtId="15" fontId="0" fillId="4" borderId="22" xfId="0" applyNumberFormat="1" applyFill="1" applyBorder="1"/>
    <xf numFmtId="15" fontId="0" fillId="0" borderId="2" xfId="0" applyNumberFormat="1" applyBorder="1"/>
    <xf numFmtId="0" fontId="0" fillId="13" borderId="1" xfId="0" applyFill="1" applyBorder="1"/>
    <xf numFmtId="0" fontId="14" fillId="10" borderId="12" xfId="0" applyFont="1" applyFill="1" applyBorder="1"/>
    <xf numFmtId="0" fontId="14" fillId="10" borderId="13" xfId="0" applyFont="1" applyFill="1" applyBorder="1"/>
    <xf numFmtId="15" fontId="15" fillId="2" borderId="22" xfId="0" applyNumberFormat="1" applyFont="1" applyFill="1" applyBorder="1"/>
    <xf numFmtId="0" fontId="15" fillId="2" borderId="1" xfId="0" applyFont="1" applyFill="1" applyBorder="1"/>
    <xf numFmtId="0" fontId="15" fillId="0" borderId="1" xfId="0" applyFont="1" applyBorder="1"/>
    <xf numFmtId="0" fontId="15" fillId="0" borderId="22" xfId="0" applyFont="1" applyBorder="1"/>
    <xf numFmtId="0" fontId="14" fillId="10" borderId="14" xfId="0" applyFont="1" applyFill="1" applyBorder="1"/>
    <xf numFmtId="0" fontId="15" fillId="2" borderId="13" xfId="0" applyFont="1" applyFill="1" applyBorder="1"/>
    <xf numFmtId="0" fontId="15" fillId="2" borderId="5" xfId="0" applyFont="1" applyFill="1" applyBorder="1"/>
    <xf numFmtId="0" fontId="15" fillId="3" borderId="1" xfId="0" applyFont="1" applyFill="1" applyBorder="1"/>
    <xf numFmtId="0" fontId="15" fillId="0" borderId="5" xfId="0" applyFont="1" applyBorder="1"/>
    <xf numFmtId="0" fontId="16" fillId="2" borderId="1" xfId="0" applyFont="1" applyFill="1" applyBorder="1"/>
    <xf numFmtId="0" fontId="0" fillId="0" borderId="0" xfId="0" applyAlignment="1">
      <alignment horizontal="left"/>
    </xf>
    <xf numFmtId="0" fontId="0" fillId="13" borderId="0" xfId="0" applyFill="1"/>
    <xf numFmtId="0" fontId="0" fillId="13" borderId="2" xfId="0" applyFill="1" applyBorder="1"/>
    <xf numFmtId="15" fontId="0" fillId="4" borderId="2" xfId="0" applyNumberFormat="1" applyFill="1" applyBorder="1"/>
    <xf numFmtId="0" fontId="15" fillId="14" borderId="1" xfId="0" applyFont="1" applyFill="1" applyBorder="1"/>
    <xf numFmtId="0" fontId="0" fillId="15" borderId="0" xfId="0" applyFill="1"/>
    <xf numFmtId="0" fontId="0" fillId="16" borderId="0" xfId="0" applyFill="1"/>
    <xf numFmtId="0" fontId="17" fillId="2" borderId="0" xfId="0" applyFont="1" applyFill="1"/>
    <xf numFmtId="0" fontId="17" fillId="2" borderId="1" xfId="0" applyFont="1" applyFill="1" applyBorder="1"/>
    <xf numFmtId="0" fontId="0" fillId="10" borderId="7" xfId="0" applyFill="1" applyBorder="1"/>
    <xf numFmtId="0" fontId="0" fillId="17" borderId="0" xfId="0" applyFill="1"/>
    <xf numFmtId="15" fontId="0" fillId="10" borderId="25" xfId="0" applyNumberFormat="1" applyFill="1" applyBorder="1"/>
    <xf numFmtId="0" fontId="0" fillId="10" borderId="0" xfId="0" applyFill="1"/>
    <xf numFmtId="15" fontId="0" fillId="18" borderId="25" xfId="0" applyNumberFormat="1" applyFill="1" applyBorder="1"/>
    <xf numFmtId="0" fontId="0" fillId="18" borderId="7" xfId="0" applyFill="1" applyBorder="1"/>
    <xf numFmtId="0" fontId="0" fillId="19" borderId="7" xfId="0" applyFill="1" applyBorder="1"/>
    <xf numFmtId="15" fontId="0" fillId="17" borderId="0" xfId="0" applyNumberFormat="1" applyFill="1"/>
    <xf numFmtId="0" fontId="18" fillId="17" borderId="0" xfId="0" applyFont="1" applyFill="1"/>
    <xf numFmtId="0" fontId="0" fillId="0" borderId="21" xfId="0" applyBorder="1"/>
    <xf numFmtId="0" fontId="18" fillId="2" borderId="0" xfId="0" applyFont="1" applyFill="1"/>
    <xf numFmtId="0" fontId="19" fillId="2" borderId="1" xfId="0" applyFont="1" applyFill="1" applyBorder="1"/>
    <xf numFmtId="15" fontId="0" fillId="11" borderId="25" xfId="0" applyNumberFormat="1" applyFill="1" applyBorder="1"/>
    <xf numFmtId="15" fontId="0" fillId="20" borderId="0" xfId="0" applyNumberFormat="1" applyFill="1"/>
    <xf numFmtId="0" fontId="0" fillId="20" borderId="0" xfId="0" applyFill="1"/>
    <xf numFmtId="15" fontId="0" fillId="10" borderId="26" xfId="0" applyNumberFormat="1" applyFill="1" applyBorder="1"/>
    <xf numFmtId="0" fontId="0" fillId="10" borderId="11" xfId="0" applyFill="1" applyBorder="1"/>
    <xf numFmtId="0" fontId="18" fillId="2" borderId="1" xfId="0" applyFont="1" applyFill="1" applyBorder="1"/>
    <xf numFmtId="15" fontId="0" fillId="17" borderId="1" xfId="0" applyNumberFormat="1" applyFill="1" applyBorder="1"/>
    <xf numFmtId="0" fontId="0" fillId="17" borderId="1" xfId="0" applyFill="1" applyBorder="1"/>
    <xf numFmtId="0" fontId="18" fillId="17" borderId="1" xfId="0" applyFont="1" applyFill="1" applyBorder="1"/>
  </cellXfs>
  <cellStyles count="2">
    <cellStyle name="Moneda" xfId="1" builtinId="4"/>
    <cellStyle name="Normal" xfId="0" builtinId="0"/>
  </cellStyles>
  <dxfs count="182"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indexed="64"/>
        </top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rgb="FFFFFF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FFF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9" tint="0.39997558519241921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2E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microsoft.com/office/2017/10/relationships/person" Target="persons/perso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15" totalsRowShown="0" headerRowDxfId="178">
  <autoFilter ref="A1:K15" xr:uid="{00000000-0009-0000-0100-000001000000}"/>
  <tableColumns count="11">
    <tableColumn id="1" xr3:uid="{00000000-0010-0000-0000-000001000000}" name="Fecha"/>
    <tableColumn id="2" xr3:uid="{00000000-0010-0000-0000-000002000000}" name="Nombre"/>
    <tableColumn id="3" xr3:uid="{9D57A271-507F-460E-AE9E-DBC6B8C81423}" name="Columna1" dataDxfId="177"/>
    <tableColumn id="4" xr3:uid="{00000000-0010-0000-0000-000004000000}" name="Vestido"/>
    <tableColumn id="5" xr3:uid="{00000000-0010-0000-0000-000005000000}" name="Anticípo"/>
    <tableColumn id="6" xr3:uid="{00000000-0010-0000-0000-000006000000}" name="Pago"/>
    <tableColumn id="7" xr3:uid="{00000000-0010-0000-0000-000007000000}" name="Pago2"/>
    <tableColumn id="8" xr3:uid="{00000000-0010-0000-0000-000008000000}" name="Pago3"/>
    <tableColumn id="9" xr3:uid="{00000000-0010-0000-0000-000009000000}" name="Pago4"/>
    <tableColumn id="10" xr3:uid="{00000000-0010-0000-0000-00000A000000}" name="Total"/>
    <tableColumn id="11" xr3:uid="{3CA09B9B-6311-46DF-8CB9-84E04CDC555B}" name="Columna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L16" totalsRowShown="0" headerRowDxfId="176">
  <autoFilter ref="A1:L16" xr:uid="{00000000-0009-0000-0100-000002000000}"/>
  <tableColumns count="12">
    <tableColumn id="1" xr3:uid="{00000000-0010-0000-0100-000001000000}" name="Fecha"/>
    <tableColumn id="2" xr3:uid="{00000000-0010-0000-0100-000002000000}" name="Nombre"/>
    <tableColumn id="11" xr3:uid="{00000000-0010-0000-0100-00000B000000}" name="Teléfono"/>
    <tableColumn id="3" xr3:uid="{00000000-0010-0000-0100-000003000000}" name="Vestido"/>
    <tableColumn id="4" xr3:uid="{00000000-0010-0000-0100-000004000000}" name="Anticipo"/>
    <tableColumn id="5" xr3:uid="{00000000-0010-0000-0100-000005000000}" name="Pago 1"/>
    <tableColumn id="6" xr3:uid="{00000000-0010-0000-0100-000006000000}" name="Pago 2"/>
    <tableColumn id="7" xr3:uid="{00000000-0010-0000-0100-000007000000}" name="Pago 3"/>
    <tableColumn id="8" xr3:uid="{00000000-0010-0000-0100-000008000000}" name="Pago 4"/>
    <tableColumn id="12" xr3:uid="{C42D45AC-938A-401E-858F-1AFEC201E450}" name="Pago 5"/>
    <tableColumn id="9" xr3:uid="{00000000-0010-0000-0100-000009000000}" name="Total"/>
    <tableColumn id="10" xr3:uid="{00000000-0010-0000-0100-00000A000000}" name="Columna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N22" totalsRowShown="0">
  <autoFilter ref="A1:N22" xr:uid="{00000000-0009-0000-0100-000003000000}"/>
  <tableColumns count="14">
    <tableColumn id="1" xr3:uid="{00000000-0010-0000-0200-000001000000}" name="Fecha"/>
    <tableColumn id="2" xr3:uid="{00000000-0010-0000-0200-000002000000}" name="Nombre"/>
    <tableColumn id="12" xr3:uid="{00000000-0010-0000-0200-00000C000000}" name="Teléfono"/>
    <tableColumn id="3" xr3:uid="{00000000-0010-0000-0200-000003000000}" name="Vestido"/>
    <tableColumn id="4" xr3:uid="{00000000-0010-0000-0200-000004000000}" name="Anticípo"/>
    <tableColumn id="5" xr3:uid="{00000000-0010-0000-0200-000005000000}" name="Pago 1"/>
    <tableColumn id="6" xr3:uid="{00000000-0010-0000-0200-000006000000}" name="Pago 2"/>
    <tableColumn id="7" xr3:uid="{00000000-0010-0000-0200-000007000000}" name="Pago 3"/>
    <tableColumn id="8" xr3:uid="{00000000-0010-0000-0200-000008000000}" name="Pago 4"/>
    <tableColumn id="14" xr3:uid="{C05C171C-37E8-4DCF-AA31-3D862C9778CD}" name="Pago 5" dataDxfId="175"/>
    <tableColumn id="9" xr3:uid="{00000000-0010-0000-0200-000009000000}" name="Total"/>
    <tableColumn id="11" xr3:uid="{00000000-0010-0000-0200-00000B000000}" name="Columna2"/>
    <tableColumn id="10" xr3:uid="{2C389117-4BCB-40C0-8844-42EB1611610A}" name="Columna3"/>
    <tableColumn id="13" xr3:uid="{A29D3BF9-5C43-47BE-93D9-42388767C840}" name="Columna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1:N13" totalsRowShown="0">
  <autoFilter ref="A1:N13" xr:uid="{00000000-0009-0000-0100-000004000000}"/>
  <tableColumns count="14">
    <tableColumn id="1" xr3:uid="{00000000-0010-0000-0300-000001000000}" name="Fecha"/>
    <tableColumn id="2" xr3:uid="{00000000-0010-0000-0300-000002000000}" name="Nombre"/>
    <tableColumn id="10" xr3:uid="{00000000-0010-0000-0300-00000A000000}" name="Teléfono"/>
    <tableColumn id="3" xr3:uid="{00000000-0010-0000-0300-000003000000}" name="Modelo"/>
    <tableColumn id="4" xr3:uid="{00000000-0010-0000-0300-000004000000}" name="Anticípo"/>
    <tableColumn id="5" xr3:uid="{00000000-0010-0000-0300-000005000000}" name="Pago 1"/>
    <tableColumn id="6" xr3:uid="{00000000-0010-0000-0300-000006000000}" name="Pago2"/>
    <tableColumn id="7" xr3:uid="{00000000-0010-0000-0300-000007000000}" name="Pago 3"/>
    <tableColumn id="8" xr3:uid="{00000000-0010-0000-0300-000008000000}" name="Pago 4"/>
    <tableColumn id="12" xr3:uid="{C208831E-0088-45E9-9897-F00E3C3C01FD}" name="Pago 5"/>
    <tableColumn id="13" xr3:uid="{C9DE1A16-C930-433D-B738-5D186858F38E}" name="Pago 6" dataDxfId="174"/>
    <tableColumn id="14" xr3:uid="{64F5A333-457E-4425-8B76-1EB243352947}" name="Pago 7" dataDxfId="173"/>
    <tableColumn id="9" xr3:uid="{00000000-0010-0000-0300-000009000000}" name="Total"/>
    <tableColumn id="11" xr3:uid="{76B33EF5-8856-4B72-BF87-3346FAABF7C7}" name="Columna1" dataDxfId="172" dataCellStyle="Mon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1:L19" totalsRowShown="0">
  <autoFilter ref="A1:L19" xr:uid="{00000000-0009-0000-0100-000005000000}"/>
  <tableColumns count="12">
    <tableColumn id="1" xr3:uid="{00000000-0010-0000-0400-000001000000}" name="|1"/>
    <tableColumn id="2" xr3:uid="{00000000-0010-0000-0400-000002000000}" name="Nombre"/>
    <tableColumn id="3" xr3:uid="{00000000-0010-0000-0400-000003000000}" name="Teléfono"/>
    <tableColumn id="4" xr3:uid="{00000000-0010-0000-0400-000004000000}" name="Vestido"/>
    <tableColumn id="5" xr3:uid="{00000000-0010-0000-0400-000005000000}" name="Anticípo"/>
    <tableColumn id="6" xr3:uid="{00000000-0010-0000-0400-000006000000}" name="Pago 1"/>
    <tableColumn id="7" xr3:uid="{00000000-0010-0000-0400-000007000000}" name="Pago 2"/>
    <tableColumn id="8" xr3:uid="{00000000-0010-0000-0400-000008000000}" name="Pago 3"/>
    <tableColumn id="9" xr3:uid="{00000000-0010-0000-0400-000009000000}" name="Pago 4"/>
    <tableColumn id="12" xr3:uid="{FE4E2908-814A-4531-A308-9918284C0F9B}" name="Pago 5" dataDxfId="171"/>
    <tableColumn id="10" xr3:uid="{00000000-0010-0000-0400-00000A000000}" name="Total"/>
    <tableColumn id="11" xr3:uid="{71BCF67A-A17E-429B-A175-6F187EB7E4BF}" name="Columna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B1BCF1-D9D3-4460-B534-6556DE4EC2FB}" name="Tabla6" displayName="Tabla6" ref="A1:K10" totalsRowShown="0">
  <autoFilter ref="A1:K10" xr:uid="{8FB1BCF1-D9D3-4460-B534-6556DE4EC2FB}"/>
  <tableColumns count="11">
    <tableColumn id="1" xr3:uid="{5E46F1D0-A487-45E6-A87E-BCF212E76EAD}" name="Fecha"/>
    <tableColumn id="2" xr3:uid="{B2A8C273-B908-4338-92B6-85AC33CF7A78}" name="Nombre"/>
    <tableColumn id="11" xr3:uid="{411EFEDE-32F8-42DE-BB75-93FCA82F7E6F}" name="Telefono "/>
    <tableColumn id="3" xr3:uid="{FFA6C49F-318D-469B-9E87-B380F7D71FE7}" name="Producto"/>
    <tableColumn id="4" xr3:uid="{9F1623BB-C331-4279-A1CC-CBA4976E160D}" name="Anticipo"/>
    <tableColumn id="5" xr3:uid="{FEEE95CC-22E9-4571-8F80-63963D1F6083}" name="Pago 1"/>
    <tableColumn id="12" xr3:uid="{FEED39A5-38AA-4025-AF5C-04F3FA3FD6FC}" name="Pago 12"/>
    <tableColumn id="6" xr3:uid="{5A5E7422-E987-4B05-B08A-12AC6901DF8A}" name="Pago 2"/>
    <tableColumn id="7" xr3:uid="{F35C8645-7355-4897-A17D-DAFF48E3A090}" name="Pago 3"/>
    <tableColumn id="8" xr3:uid="{14E661C9-20AA-4803-875D-EEF0537AA383}" name="Pago 4"/>
    <tableColumn id="9" xr3:uid="{5BC6E680-5718-4468-8477-115E94DF3C5B}" name="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30DE1E-9515-4891-9638-9CC4CDF92332}" name="Tabla7" displayName="Tabla7" ref="A1:L12" totalsRowShown="0">
  <autoFilter ref="A1:L12" xr:uid="{6430DE1E-9515-4891-9638-9CC4CDF92332}"/>
  <tableColumns count="12">
    <tableColumn id="1" xr3:uid="{5FEFFA43-9177-4FF4-9B66-B1E15173AE6F}" name="Fecha"/>
    <tableColumn id="2" xr3:uid="{7B2F1224-1DDE-4CEF-84B5-41427EE79BD4}" name="Nombre"/>
    <tableColumn id="3" xr3:uid="{7E990B78-3A69-47C7-89E7-05B8C712DC20}" name="Telefono"/>
    <tableColumn id="4" xr3:uid="{505B2072-CA91-4F18-97A8-C3BBDBC186B6}" name="Producto"/>
    <tableColumn id="5" xr3:uid="{4D496123-3071-41CF-A31F-9ED22E1612FB}" name="Anticipo"/>
    <tableColumn id="6" xr3:uid="{51118554-2D4E-4A51-9792-A3D2B8CD076B}" name="Pago 1"/>
    <tableColumn id="7" xr3:uid="{5F2BD24B-3BA8-4F31-A598-154A794D6CBC}" name="Pago 2"/>
    <tableColumn id="8" xr3:uid="{02DE2A2F-5BC8-4AF7-B73F-EC6CA05C292F}" name="Pago 3"/>
    <tableColumn id="9" xr3:uid="{B2B16EB4-F24B-46FB-A4D9-35A665A88C38}" name="Pago 4"/>
    <tableColumn id="11" xr3:uid="{28E77E35-2DAF-40C5-ADCA-F5E00163199A}" name="Pago 5"/>
    <tableColumn id="12" xr3:uid="{217C005D-00E3-4F42-B7D8-BDDF5E7B3D7B}" name="Pago 6" dataDxfId="170"/>
    <tableColumn id="10" xr3:uid="{A26BCDE5-5756-40CE-A89C-4EF3A05E4512}" name="Total" data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0AD928-B190-4FA9-93FD-A734A3B3E81B}" name="Tabla9" displayName="Tabla9" ref="A1:L10" totalsRowShown="0">
  <autoFilter ref="A1:L10" xr:uid="{810AD928-B190-4FA9-93FD-A734A3B3E81B}"/>
  <tableColumns count="12">
    <tableColumn id="11" xr3:uid="{2932FA88-F903-4F60-9CB6-D9FB3159B602}" name="Columna1"/>
    <tableColumn id="2" xr3:uid="{71719124-2AFD-4EB9-8B27-6ED7EF0FA7CC}" name="Cliente"/>
    <tableColumn id="3" xr3:uid="{FDA3AD0B-0612-47A3-989A-4D9D7D04BB43}" name="Teléfono"/>
    <tableColumn id="4" xr3:uid="{CD7C175E-5ABA-4C93-A024-EB5F28D1B842}" name="Productos"/>
    <tableColumn id="5" xr3:uid="{95BC4197-5B48-4125-977C-D27FF10AD723}" name="Anticípo"/>
    <tableColumn id="6" xr3:uid="{11E113F7-1EE9-4B7A-9D25-2D920C346C11}" name="Pago 1"/>
    <tableColumn id="7" xr3:uid="{3C9DE9C4-2993-4360-B4FC-C4C9B3756E26}" name="Pago 2"/>
    <tableColumn id="8" xr3:uid="{16D5533E-FD71-45DB-807E-40280927BDC8}" name="Pago 3"/>
    <tableColumn id="9" xr3:uid="{8593E317-B0C9-48A8-9AB2-56407902C369}" name="Pago 4"/>
    <tableColumn id="12" xr3:uid="{970AA292-6F74-41C6-B2EA-2BEC6E3A6774}" name="Pago 5" dataDxfId="169"/>
    <tableColumn id="10" xr3:uid="{8DF0D790-2C79-4F14-95E9-1C6F8683DD30}" name="Total"/>
    <tableColumn id="1" xr3:uid="{6783A910-3280-47DA-8955-27E8BA62C3D6}" name="Columna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331E04-E804-435F-A8E1-DB027BB1A546}" name="Tabla8" displayName="Tabla8" ref="A1:L11" totalsRowShown="0">
  <autoFilter ref="A1:L11" xr:uid="{7A331E04-E804-435F-A8E1-DB027BB1A546}"/>
  <tableColumns count="12">
    <tableColumn id="1" xr3:uid="{501C0316-8AAC-46FF-90FB-AC52FCD60B94}" name="Fecha"/>
    <tableColumn id="2" xr3:uid="{08B99118-AC80-4B28-8F22-D7F4F37ED756}" name="Cliente"/>
    <tableColumn id="3" xr3:uid="{33634B09-91D2-4E0D-9C28-DA1F08240D09}" name="Teléfono"/>
    <tableColumn id="11" xr3:uid="{1946F2C5-98EC-4F7E-878B-10BCBBA7C57F}" name="Producto"/>
    <tableColumn id="4" xr3:uid="{89238D6D-E59C-4709-B341-7549CD860EB3}" name="Anticípo" dataCellStyle="Moneda"/>
    <tableColumn id="5" xr3:uid="{6DBBE938-ACEC-4B90-AF87-C91BFF3B9DE5}" name="Pago1"/>
    <tableColumn id="6" xr3:uid="{5236F4B9-5403-44BC-96D9-F93A2C2AC53A}" name="Pago 2"/>
    <tableColumn id="7" xr3:uid="{21BFD495-BD5D-43DE-8C43-AEC6192D1E51}" name="Pago3" dataDxfId="168"/>
    <tableColumn id="8" xr3:uid="{F237E01E-89C3-408A-B7AC-4366FDE20696}" name="Pago 4"/>
    <tableColumn id="12" xr3:uid="{F8CE6BDD-975E-46A1-AE4A-527F564E44C3}" name="Pago 5"/>
    <tableColumn id="10" xr3:uid="{FEF9B1D2-6ABE-4C93-9FD4-CD1C87C9007E}" name="Pago 6"/>
    <tableColumn id="9" xr3:uid="{F648290A-8B52-411E-B763-7E1EDE44CCE7}" name="Total" dataCellStyle="Mone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F3D735-17C8-4D56-9B94-180422AEF1DF}" name="Tabla10" displayName="Tabla10" ref="A1:K12" totalsRowShown="0">
  <autoFilter ref="A1:K12" xr:uid="{AFF3D735-17C8-4D56-9B94-180422AEF1DF}"/>
  <tableColumns count="11">
    <tableColumn id="1" xr3:uid="{82E5C323-EC00-4FA3-B833-B16167ABDA00}" name="Fecha"/>
    <tableColumn id="2" xr3:uid="{E2187674-24EC-4DB6-81D9-6F0717334C80}" name="Cliente"/>
    <tableColumn id="3" xr3:uid="{659476E4-22E0-49A3-9B36-D1F3A882C8EE}" name="Teléfono"/>
    <tableColumn id="4" xr3:uid="{3C0CEA71-8076-4F65-95E9-E8818C8D2CD3}" name="Producto"/>
    <tableColumn id="5" xr3:uid="{7ECC2800-C71B-4F36-8EEA-2AF878DEEC9E}" name="Anticípo" dataCellStyle="Moneda"/>
    <tableColumn id="6" xr3:uid="{CA321E28-4DBF-4C70-B8CE-8F9E2763C74D}" name="Pago 1"/>
    <tableColumn id="7" xr3:uid="{02C0186E-804B-4400-9F0B-B8DB9516F0C3}" name="Pago 2"/>
    <tableColumn id="8" xr3:uid="{CB9A05C1-4D07-4C80-9A06-48BDA50AAFD2}" name="Pago 3"/>
    <tableColumn id="9" xr3:uid="{7852FD0D-0B22-438E-A6A6-EDF3D264B9F3}" name="Pago 4"/>
    <tableColumn id="10" xr3:uid="{24BE1127-BAEE-437D-94C8-73F48E54DE47}" name="Total" dataCellStyle="Moneda"/>
    <tableColumn id="11" xr3:uid="{5E586B86-D075-4C33-B06B-9E18AF625601}" name="Columna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68EC84-50DD-4BDE-B43A-2C975D479196}" name="Tabla12" displayName="Tabla12" ref="A1:O12" totalsRowShown="0" headerRowDxfId="167" dataDxfId="165" headerRowBorderDxfId="166" tableBorderDxfId="164" totalsRowBorderDxfId="163">
  <autoFilter ref="A1:O12" xr:uid="{B668EC84-50DD-4BDE-B43A-2C975D479196}"/>
  <tableColumns count="15">
    <tableColumn id="1" xr3:uid="{4155E7BD-4617-4AF9-9C7F-B25C861E43A9}" name="Fecha"/>
    <tableColumn id="2" xr3:uid="{4A9E7A93-ECC0-416E-AEE0-D617E274C485}" name="Nombre" dataDxfId="162"/>
    <tableColumn id="3" xr3:uid="{6B8AA571-F651-4474-8EED-6291004E0D4D}" name="Teléfono" dataDxfId="161"/>
    <tableColumn id="4" xr3:uid="{62CE8072-B5AF-456F-B76A-4DEA6338BFF2}" name="Productos" dataDxfId="160"/>
    <tableColumn id="5" xr3:uid="{EE02315B-B665-4A7E-9F40-78CF01B514CD}" name="Anticípo" dataDxfId="159" dataCellStyle="Moneda"/>
    <tableColumn id="6" xr3:uid="{5B734DF5-0D65-42F4-95EB-88D0269A7E6B}" name="Pago 1" dataDxfId="158"/>
    <tableColumn id="7" xr3:uid="{423662A9-E456-4E35-9E3A-95F3DE5803EF}" name="Pago2" dataDxfId="157"/>
    <tableColumn id="8" xr3:uid="{558B40EE-A968-4154-A5A1-E94E553B8C79}" name="Pago 3" dataDxfId="156"/>
    <tableColumn id="9" xr3:uid="{24AB5DAD-FCE6-49EB-9ACB-7B396771B44F}" name="Pago 4" dataDxfId="155"/>
    <tableColumn id="14" xr3:uid="{372CC967-5ADC-444A-8CEC-EEAAEE95BBD8}" name="Pago 42" dataDxfId="154"/>
    <tableColumn id="13" xr3:uid="{F4C4FC2D-0BA0-4EDA-AD79-D48664FC1EAD}" name="Pago 5" dataDxfId="153"/>
    <tableColumn id="15" xr3:uid="{DAC0BB55-88A0-4F22-8B5B-9E96F49E9E33}" name="Pago 6" dataDxfId="152"/>
    <tableColumn id="10" xr3:uid="{EF95AE0A-34D3-4902-86C6-C6039BE02226}" name="Total" dataDxfId="151" dataCellStyle="Moneda"/>
    <tableColumn id="11" xr3:uid="{76A8360D-1183-49CC-8F3D-9BB4A307D911}" name="Columna1" dataDxfId="150"/>
    <tableColumn id="12" xr3:uid="{96415275-E90D-4C4A-99CC-BC35A3FD152C}" name="Columna2" dataDxfId="14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E4FCE7-5ABD-4E18-A899-D22C4E89D851}" name="Tabla11" displayName="Tabla11" ref="A1:L8" totalsRowShown="0">
  <autoFilter ref="A1:L8" xr:uid="{97E4FCE7-5ABD-4E18-A899-D22C4E89D851}"/>
  <tableColumns count="12">
    <tableColumn id="1" xr3:uid="{0D55E305-4C5C-4ABC-83F5-2DBBA5B6A702}" name="Fecha"/>
    <tableColumn id="2" xr3:uid="{ECADD253-B032-4766-B785-F09FADA82F39}" name="Nombre"/>
    <tableColumn id="3" xr3:uid="{C612C193-931B-40CA-8D3B-1B245AD4329F}" name="Teléfono" dataDxfId="148"/>
    <tableColumn id="4" xr3:uid="{BBAFEDFD-EE86-46A1-B4D2-DC8531B11A7A}" name="Productos"/>
    <tableColumn id="5" xr3:uid="{2BE48E0B-2D42-40E7-BF6A-932C5684D4CD}" name="Anticípo" dataCellStyle="Moneda"/>
    <tableColumn id="6" xr3:uid="{B08D7829-B69E-4A97-BE2E-5F110710E45C}" name="Pago 1"/>
    <tableColumn id="7" xr3:uid="{DDBDB644-A4E8-4147-BFFE-0FE3C46032A2}" name="Pago2"/>
    <tableColumn id="8" xr3:uid="{5D588DC1-2CBE-4586-AF6D-2275743F917F}" name=" "/>
    <tableColumn id="9" xr3:uid="{029A0315-A081-43FC-9009-917881951D9C}" name="Pago 4"/>
    <tableColumn id="12" xr3:uid="{58E8F59D-EA03-45C5-9F55-6944E51C7738}" name="Pago 5"/>
    <tableColumn id="10" xr3:uid="{DC6230FD-12D4-4652-A166-FE3E8E528F73}" name="Total" dataCellStyle="Moneda"/>
    <tableColumn id="11" xr3:uid="{81C3BE9D-7B38-435E-BE46-100D242C062E}" name="Columna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4EBFC9-FF9B-4E7E-BE6D-DC1FF62BA88C}" name="Tabla13" displayName="Tabla13" ref="A1:Q14" totalsRowShown="0">
  <autoFilter ref="A1:Q14" xr:uid="{BB4EBFC9-FF9B-4E7E-BE6D-DC1FF62BA88C}"/>
  <tableColumns count="17">
    <tableColumn id="1" xr3:uid="{5D1B8799-F5E1-4DDC-AF92-64CD4E58C156}" name="Columna1"/>
    <tableColumn id="2" xr3:uid="{EED5D1E2-94AB-4B72-B3FC-DEE07B868B76}" name="Columna2"/>
    <tableColumn id="3" xr3:uid="{0F7332C7-C41B-41F1-BD6D-2FE7EC6843DC}" name="Columna3"/>
    <tableColumn id="4" xr3:uid="{0509DD55-8A64-419A-9ACB-69B19368820C}" name="Columna4"/>
    <tableColumn id="5" xr3:uid="{C0BA7C48-3EC9-4C66-AA6E-992197018568}" name="Columna5"/>
    <tableColumn id="6" xr3:uid="{8CB83AB0-39C3-440E-A866-2EB022ACE6C5}" name="Columna6"/>
    <tableColumn id="7" xr3:uid="{9C7894F0-32B4-4088-A3FF-3745F5A51628}" name="Columna7"/>
    <tableColumn id="8" xr3:uid="{56D7FDF5-F52F-4157-AD00-176DFA13D04A}" name="Columna8"/>
    <tableColumn id="9" xr3:uid="{35BC730F-339B-456B-B51A-63C1569567D8}" name="Columna9"/>
    <tableColumn id="12" xr3:uid="{B41960AF-5B5B-4DD0-A3A8-78386BA4EDCC}" name="Columna92"/>
    <tableColumn id="14" xr3:uid="{AA135F2F-CBCA-469B-A0E3-46630730B34B}" name="Columna93"/>
    <tableColumn id="13" xr3:uid="{39D87BBC-CDD7-40E6-BA76-106288B99258}" name="Columna94"/>
    <tableColumn id="15" xr3:uid="{66A43457-AC22-456B-95D1-8E25ACF9F870}" name="Columna95"/>
    <tableColumn id="16" xr3:uid="{DC336F94-804A-42A6-9B5D-320BEC965288}" name="Columna96"/>
    <tableColumn id="17" xr3:uid="{7C2CF854-9299-4776-BEB5-676D98A6DE8B}" name="Columna97"/>
    <tableColumn id="10" xr3:uid="{DF9B94ED-EF6C-463A-B02B-3D6B4799F9B9}" name="Columna10"/>
    <tableColumn id="11" xr3:uid="{8B0B631F-A48F-457B-871B-BD7C767D9732}" name="Columna1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353DF7-993D-425D-88EE-047F7216015A}" name="Tabla14" displayName="Tabla14" ref="A1:N14" totalsRowShown="0" headerRowDxfId="147" dataDxfId="145" headerRowBorderDxfId="146" tableBorderDxfId="144" totalsRowBorderDxfId="143">
  <autoFilter ref="A1:N14" xr:uid="{87353DF7-993D-425D-88EE-047F7216015A}"/>
  <tableColumns count="14">
    <tableColumn id="1" xr3:uid="{C2F22F98-164A-452E-A0FF-E14FA957C071}" name="Columna1" dataDxfId="142"/>
    <tableColumn id="2" xr3:uid="{AF1F3960-EA92-4DC5-A69D-DEB8E1D8F675}" name="Columna2" dataDxfId="141"/>
    <tableColumn id="3" xr3:uid="{64749559-58F7-400A-A6A7-CFE0B231B3FE}" name="Columna3" dataDxfId="140"/>
    <tableColumn id="4" xr3:uid="{A98E963E-2D45-44C5-80D4-53A60AEA12A5}" name="Columna4" dataDxfId="139"/>
    <tableColumn id="5" xr3:uid="{1E1710FB-9BC5-4B00-8ECC-91C947446DB6}" name="Columna5" dataDxfId="138"/>
    <tableColumn id="6" xr3:uid="{4CBF1382-EF32-48BB-A7E0-58FD98391387}" name="Columna6" dataDxfId="137"/>
    <tableColumn id="7" xr3:uid="{82B3A364-FC07-4924-8B46-BB6D59AC7DE7}" name="Columna7" dataDxfId="136"/>
    <tableColumn id="8" xr3:uid="{EF596472-2BC7-4C33-BDB8-AABB80766E35}" name="Columna8" dataDxfId="135"/>
    <tableColumn id="9" xr3:uid="{846CF1B6-9E03-4CD8-9F4C-40764AB297A1}" name="Columna9" dataDxfId="134"/>
    <tableColumn id="12" xr3:uid="{D9E4D971-E87A-438B-8F29-FB818E7946E3}" name="Columna92" dataDxfId="133"/>
    <tableColumn id="13" xr3:uid="{421D4900-CF2C-47CC-87B7-FF07E3FEFEE4}" name="Columna93" dataDxfId="132"/>
    <tableColumn id="14" xr3:uid="{EB4A9B2A-5681-4052-88AB-70070D8ECF18}" name="Columna94" dataDxfId="131"/>
    <tableColumn id="10" xr3:uid="{9505A920-1ABD-4946-902F-23BFB77534A8}" name="Columna10" dataDxfId="130"/>
    <tableColumn id="11" xr3:uid="{DB34E656-CE68-4246-A9BE-D6CF45E888E3}" name="Columna11" dataDxfId="129"/>
  </tableColumns>
  <tableStyleInfo name="TableStyleMedium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B2BB15-A3B8-4FE0-A672-9D736A473052}" name="Tabla15" displayName="Tabla15" ref="A1:P18" totalsRowShown="0" headerRowDxfId="128" headerRowBorderDxfId="127" tableBorderDxfId="126">
  <autoFilter ref="A1:P18" xr:uid="{B4B2BB15-A3B8-4FE0-A672-9D736A473052}"/>
  <tableColumns count="16">
    <tableColumn id="1" xr3:uid="{BBE548A4-D928-4767-9F06-053D5151D007}" name="fecha"/>
    <tableColumn id="2" xr3:uid="{5EFD0E3A-8501-442E-AFF5-58AA57B3F8B3}" name="nombre"/>
    <tableColumn id="3" xr3:uid="{8926754D-5D68-4A31-89D0-287B5FE96CA1}" name="telefono"/>
    <tableColumn id="4" xr3:uid="{6CD80621-FBE4-4231-979A-319F492D732D}" name="producto"/>
    <tableColumn id="5" xr3:uid="{D97B5D0E-3248-495F-9722-00C8FC198EA7}" name="anticipo"/>
    <tableColumn id="6" xr3:uid="{7A167695-3FCC-44B0-8845-ACBA5275B9C8}" name="pago1"/>
    <tableColumn id="7" xr3:uid="{4576DAB5-7F04-465F-B59E-918C94A28B46}" name="pago2"/>
    <tableColumn id="8" xr3:uid="{8D3108E3-7927-4A73-B971-5EC762E132BF}" name="pago3"/>
    <tableColumn id="9" xr3:uid="{7A67BBF1-53DB-4E26-AF41-8946963F52E4}" name="pago4"/>
    <tableColumn id="10" xr3:uid="{C4F40598-6924-4AC7-A1DC-0836A57A5FB6}" name="pago5"/>
    <tableColumn id="12" xr3:uid="{D9A64F88-3F4F-42A6-B97E-580DDF64FB96}" name="pago6" dataDxfId="125"/>
    <tableColumn id="13" xr3:uid="{ADDEBF67-F9B4-45BC-B6C8-3209EB3641F6}" name="pago7" dataDxfId="124"/>
    <tableColumn id="15" xr3:uid="{D6A7086F-1E33-4F6C-A739-2A3E5EFCCF0C}" name="pago8" dataDxfId="123"/>
    <tableColumn id="16" xr3:uid="{E37EED15-850B-4A79-944A-8070CB792E11}" name="pago9" dataDxfId="122"/>
    <tableColumn id="11" xr3:uid="{AB1086F3-BA4D-47B7-90DA-062969B5AFB1}" name="total"/>
    <tableColumn id="14" xr3:uid="{49705985-455B-4FC6-89E9-FEBEC8BA4BC8}" name="Columna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ECDF27E-9E3E-4EA1-9325-1A4D67F1F286}" name="Tabla16" displayName="Tabla16" ref="A2:K15" totalsRowShown="0" tableBorderDxfId="121">
  <autoFilter ref="A2:K15" xr:uid="{AECDF27E-9E3E-4EA1-9325-1A4D67F1F286}"/>
  <tableColumns count="11">
    <tableColumn id="1" xr3:uid="{7F53EB2B-8135-4987-96EF-E50B1719A9A8}" name="Columna1"/>
    <tableColumn id="2" xr3:uid="{100AC70B-DD26-4D7B-82F7-9963103BBBB6}" name="Columna2"/>
    <tableColumn id="3" xr3:uid="{D6C7705A-9A12-4B4F-8AA6-37C241B64F34}" name="Columna3"/>
    <tableColumn id="4" xr3:uid="{3EC3BE63-69D4-42B4-B241-4DCA31586A9A}" name="Columna4"/>
    <tableColumn id="5" xr3:uid="{59B1C970-795D-498A-A2A8-37E911678405}" name="Columna5"/>
    <tableColumn id="6" xr3:uid="{5549EAB6-7EAD-40E1-BE21-4AF31781494C}" name="Columna6"/>
    <tableColumn id="7" xr3:uid="{F409554C-CA0A-47AC-965A-2B37FDD46B67}" name="Columna7"/>
    <tableColumn id="8" xr3:uid="{B830BE5A-E1A3-40EC-971F-F5D7DA1643F4}" name="Columna8"/>
    <tableColumn id="9" xr3:uid="{C541C8E9-864B-4094-A515-E7DF15E9195F}" name="Columna9"/>
    <tableColumn id="10" xr3:uid="{8DD684C6-15E6-43CB-8962-A87A785D6C3C}" name="Columna10"/>
    <tableColumn id="11" xr3:uid="{552670A9-9162-437A-B1E4-FFBCAC43B97E}" name="Columna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B683CFC-AED1-429B-B36B-074D1549742E}" name="Tabla17" displayName="Tabla17" ref="A1:M14" totalsRowShown="0" headerRowDxfId="120" tableBorderDxfId="119">
  <autoFilter ref="A1:M14" xr:uid="{7B683CFC-AED1-429B-B36B-074D1549742E}"/>
  <tableColumns count="13">
    <tableColumn id="1" xr3:uid="{7F5C656A-E005-4733-8587-BD474190A38B}" name="Columna1"/>
    <tableColumn id="2" xr3:uid="{7ACDF29F-5AE9-4FEA-8D7A-339025763253}" name="Columna2"/>
    <tableColumn id="3" xr3:uid="{BF5033B6-25D4-415B-AAB8-ECDB85B604B0}" name="Columna3"/>
    <tableColumn id="4" xr3:uid="{5BFC111F-0BB7-45EA-BDD8-AA8FECBAC137}" name="Columna4"/>
    <tableColumn id="5" xr3:uid="{5B21E3AF-A847-454F-A413-8975968DFD53}" name="Columna5"/>
    <tableColumn id="6" xr3:uid="{BE45FEE9-8BA9-4420-A0A9-AAA40211AD9E}" name="Columna6"/>
    <tableColumn id="7" xr3:uid="{738329DD-3901-4EB7-A8AC-B7B07D67E181}" name="Columna7"/>
    <tableColumn id="8" xr3:uid="{7E426E2F-E881-4884-82F0-FCF48FE480AE}" name="Columna8"/>
    <tableColumn id="9" xr3:uid="{5028F834-DDEB-4C83-BC5A-8A7D15391857}" name="Columna9"/>
    <tableColumn id="10" xr3:uid="{63197624-695D-4658-8288-5786BC6DDCCD}" name="Columna10"/>
    <tableColumn id="12" xr3:uid="{C6EEC69D-4F3E-41E0-AA46-0DCACAA35DE5}" name="Columna102"/>
    <tableColumn id="13" xr3:uid="{F0FA9F83-4E89-4777-A2B5-3E72DE791F66}" name="Columna103"/>
    <tableColumn id="11" xr3:uid="{B99BF38E-51BA-4E17-BDC8-BB76B14745A0}" name="Columna1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5218F07-386C-4E55-A4A8-CBCA20F17D4B}" name="Tabla18" displayName="Tabla18" ref="A1:M14" totalsRowShown="0" headerRowDxfId="118" headerRowBorderDxfId="117" tableBorderDxfId="116">
  <autoFilter ref="A1:M14" xr:uid="{65218F07-386C-4E55-A4A8-CBCA20F17D4B}"/>
  <tableColumns count="13">
    <tableColumn id="1" xr3:uid="{70249D38-62BD-48FA-AA68-DB3FCEDA2CD8}" name="fecha"/>
    <tableColumn id="2" xr3:uid="{D7FA8232-2075-4350-B259-9B870842360C}" name="nombre"/>
    <tableColumn id="3" xr3:uid="{9A3A0C3B-E2EB-45AC-BA8E-9572917F2FFA}" name="telefono"/>
    <tableColumn id="4" xr3:uid="{80D42A32-20D5-4C05-9CDD-0CC4BC125062}" name="producto"/>
    <tableColumn id="5" xr3:uid="{CA3262F3-71FF-4536-A056-ED3F63F8F3C1}" name="anticipo"/>
    <tableColumn id="6" xr3:uid="{C966671B-582A-48E0-9D38-2AFD8530BCA3}" name="pago1"/>
    <tableColumn id="7" xr3:uid="{421FECF6-86A6-4824-93F2-C07A11DF7920}" name="pago2"/>
    <tableColumn id="8" xr3:uid="{E4ACD005-BBB3-475F-918D-139921BCE6BF}" name="pago3"/>
    <tableColumn id="9" xr3:uid="{E6EBAFC3-5BD3-40A8-A99C-3960159520D3}" name="pago4"/>
    <tableColumn id="10" xr3:uid="{B1A8E72B-F8A0-498C-9579-116EF7BCA284}" name="pago5"/>
    <tableColumn id="12" xr3:uid="{B9FFC53A-2412-49F1-9A9F-9556F38EE998}" name="pago6"/>
    <tableColumn id="11" xr3:uid="{A96F8C73-8DD5-41CA-A384-DBFFD4DB3B93}" name="total"/>
    <tableColumn id="13" xr3:uid="{AECC10FF-929C-420E-AC75-A690D85FCE66}" name="Columna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C1EE70-78CA-4191-AF3F-143D48C88D4B}" name="Tabla19" displayName="Tabla19" ref="A1:K15" totalsRowShown="0" headerRowDxfId="115" headerRowBorderDxfId="114" tableBorderDxfId="113">
  <autoFilter ref="A1:K15" xr:uid="{DBC1EE70-78CA-4191-AF3F-143D48C88D4B}"/>
  <tableColumns count="11">
    <tableColumn id="1" xr3:uid="{A73934BC-FBDD-4360-8BE7-D511200EAEFE}" name="fecha"/>
    <tableColumn id="2" xr3:uid="{E2A46DF6-BD63-4EE9-B639-5C56D0D14993}" name="nombre"/>
    <tableColumn id="3" xr3:uid="{4B9E9871-C219-4DD6-A48C-DC611A373908}" name="telefono"/>
    <tableColumn id="4" xr3:uid="{9CC12BAD-BFAD-4473-A378-8B149CCE2631}" name="producto"/>
    <tableColumn id="5" xr3:uid="{9F7AA14A-2BA4-4EB4-9C02-69EC50CD11FF}" name="anticipo"/>
    <tableColumn id="6" xr3:uid="{92F02716-725C-438A-A7AD-CF27CE68BC35}" name="pago 1"/>
    <tableColumn id="7" xr3:uid="{D67F1769-37D5-4A96-B747-1D53E0DBF7D9}" name="pago 2"/>
    <tableColumn id="8" xr3:uid="{4790A8D2-954E-4BFC-BB75-7724FDF11567}" name="pago 3"/>
    <tableColumn id="9" xr3:uid="{D06933D6-7EA1-478B-9290-D1333BCE61C0}" name="pago 4"/>
    <tableColumn id="10" xr3:uid="{CFF1D67C-BC14-4A3B-BD87-7E0E72BCB83B}" name="pago 5"/>
    <tableColumn id="11" xr3:uid="{942E5268-307E-4EC9-A783-F837A8C421A2}" name="tota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9284272-343E-4535-AB60-397AD4D0C39C}" name="Tabla20" displayName="Tabla20" ref="A1:K13" totalsRowShown="0" headerRowDxfId="112" headerRowBorderDxfId="111" tableBorderDxfId="110">
  <autoFilter ref="A1:K13" xr:uid="{29284272-343E-4535-AB60-397AD4D0C39C}"/>
  <tableColumns count="11">
    <tableColumn id="1" xr3:uid="{F6B8C0FA-8A71-4CA3-A84B-3F4C202C8737}" name="fecha"/>
    <tableColumn id="2" xr3:uid="{7086D4CA-7DA1-402E-8120-F1517AA370FA}" name="nombre"/>
    <tableColumn id="3" xr3:uid="{27DAE4B0-9005-411D-B474-67A4DA754335}" name="telefono"/>
    <tableColumn id="4" xr3:uid="{61C1DA5A-5E7D-4B9C-AE94-C48FBA5D81E1}" name="producto"/>
    <tableColumn id="5" xr3:uid="{1C7D9395-9274-4FD7-91C3-482269E6BBCC}" name="anticipo"/>
    <tableColumn id="6" xr3:uid="{83B36517-E9D5-42D3-B3F1-C97B56B248FE}" name="pago 1"/>
    <tableColumn id="7" xr3:uid="{9C0F092E-1ECE-4CB5-8E18-240B2421B165}" name="pago 2"/>
    <tableColumn id="8" xr3:uid="{F744FF25-78A0-441B-BA56-D8F042363FA4}" name="pago 3"/>
    <tableColumn id="9" xr3:uid="{89306BA3-0268-4AD3-9B8D-D6345B240B94}" name="pago 4"/>
    <tableColumn id="10" xr3:uid="{34445423-095B-4567-8070-E76147AAD327}" name="pago 5"/>
    <tableColumn id="11" xr3:uid="{7D930A0E-DC6E-4138-8836-2C6EB153E41A}" name="total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8981D18-D480-4B68-B2D3-5F125809448C}" name="Tabla21" displayName="Tabla21" ref="A1:K11" totalsRowShown="0" headerRowDxfId="109" headerRowBorderDxfId="108" tableBorderDxfId="107">
  <autoFilter ref="A1:K11" xr:uid="{68981D18-D480-4B68-B2D3-5F125809448C}"/>
  <tableColumns count="11">
    <tableColumn id="1" xr3:uid="{2A9EDCED-B8C5-4B10-B701-4E9D6642F23D}" name="fecha"/>
    <tableColumn id="2" xr3:uid="{37A59E16-5E0E-4250-97E2-DAB548A05056}" name="nombre"/>
    <tableColumn id="3" xr3:uid="{0DD8F5AD-BBF1-432C-9BF8-F8822B0640BE}" name="telefono"/>
    <tableColumn id="4" xr3:uid="{793EEC13-F316-4A88-B452-B504D5B1949B}" name="producto"/>
    <tableColumn id="5" xr3:uid="{47FA2287-DF6A-4F10-B2C3-3ED1616A3652}" name="anticipo"/>
    <tableColumn id="6" xr3:uid="{FC777031-8CB5-4D20-857D-DDBAF077FFD1}" name="pago 1"/>
    <tableColumn id="7" xr3:uid="{52E720D0-6205-4E53-B232-3F998664CA6B}" name="pago 2"/>
    <tableColumn id="8" xr3:uid="{90688B96-E8B0-4EDF-9664-384D7FCB337E}" name="pago 3"/>
    <tableColumn id="9" xr3:uid="{B8F1C932-D0FF-47F9-B409-F024F911890F}" name="pago 4"/>
    <tableColumn id="10" xr3:uid="{9FB36BB8-D3C6-4793-A305-E00DD3A26E6B}" name="pago 5"/>
    <tableColumn id="11" xr3:uid="{6CC966AB-B4AC-4C67-93DA-8661F9774E4A}" name="total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96B002-BB2D-4FDA-B7AB-74390831C196}" name="Tabla22" displayName="Tabla22" ref="A1:L9" totalsRowShown="0" headerRowDxfId="106" headerRowBorderDxfId="105" tableBorderDxfId="104">
  <autoFilter ref="A1:L9" xr:uid="{6396B002-BB2D-4FDA-B7AB-74390831C196}"/>
  <tableColumns count="12">
    <tableColumn id="1" xr3:uid="{067D8CDD-018E-4154-8FAF-F75EE309AF80}" name="fecha"/>
    <tableColumn id="2" xr3:uid="{2D9C497F-F554-4F1E-9F8D-E1E9085A0D2F}" name="nombre"/>
    <tableColumn id="3" xr3:uid="{7109B367-E2FA-4FBD-B6F7-FA041C86A05A}" name="telefono"/>
    <tableColumn id="4" xr3:uid="{8BF4205F-0816-4935-BEB7-9987AE910748}" name="producto"/>
    <tableColumn id="5" xr3:uid="{662756E8-356C-4CED-9467-D548E7931E16}" name="anticipo"/>
    <tableColumn id="6" xr3:uid="{64A7FEBE-AC27-4312-AF64-28D38B5E8F5D}" name="pago 1"/>
    <tableColumn id="7" xr3:uid="{C8DBA0DD-C75C-4B30-AD54-256DEB33502F}" name="pago 2"/>
    <tableColumn id="8" xr3:uid="{90B4290F-4ED7-4495-8FD9-C25F40A95AF1}" name="pago 3"/>
    <tableColumn id="9" xr3:uid="{D647FD94-2D87-47C3-B713-B28212727313}" name="pago 4"/>
    <tableColumn id="10" xr3:uid="{0B3A7D0B-8DD6-4C51-A4F0-0A6233561234}" name="pago 5"/>
    <tableColumn id="12" xr3:uid="{B1B874F3-FF5C-48BC-8851-571F2015AA70}" name="pago 6" dataDxfId="103"/>
    <tableColumn id="11" xr3:uid="{C043234B-32A3-486F-BB40-C46B496AE53E}" name="tota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415C59-1261-4E29-A01E-ED03BF7C2CFC}" name="Tabla23" displayName="Tabla23" ref="A1:M10" totalsRowShown="0" headerRowDxfId="102" tableBorderDxfId="101">
  <autoFilter ref="A1:M10" xr:uid="{19415C59-1261-4E29-A01E-ED03BF7C2CFC}"/>
  <tableColumns count="13">
    <tableColumn id="1" xr3:uid="{51575A11-FB52-48E5-B237-E20440A68E5D}" name="fecha" dataDxfId="100"/>
    <tableColumn id="2" xr3:uid="{020894E6-22E8-4F3B-91B8-E8B098A3296B}" name="nombre" dataDxfId="99"/>
    <tableColumn id="3" xr3:uid="{C8D27BA9-4778-46B4-8F1B-809331612937}" name="telefono" dataDxfId="98"/>
    <tableColumn id="4" xr3:uid="{4DFA82A4-9BF0-449D-A79F-0355C0697289}" name="producto" dataDxfId="97"/>
    <tableColumn id="5" xr3:uid="{5C0C1689-05A2-4D6D-A01D-A23B8234D660}" name="anticipo" dataDxfId="96"/>
    <tableColumn id="6" xr3:uid="{1C9B0C0E-E24F-461D-B9BE-5FB1D4D8F933}" name="pago 1" dataDxfId="95"/>
    <tableColumn id="7" xr3:uid="{8A11CFD4-2B17-4723-A3B9-A2EFDD90BC60}" name="pago 2" dataDxfId="94"/>
    <tableColumn id="8" xr3:uid="{9A0CA648-36B6-4AFF-9A77-9133EEE23B30}" name="pago 3" dataDxfId="93"/>
    <tableColumn id="9" xr3:uid="{FA185933-9CFA-474D-AA12-C66AFB4DE18F}" name="pago 4" dataDxfId="92"/>
    <tableColumn id="10" xr3:uid="{46D0C8E8-B7B4-4C25-82F8-972B75B8E05A}" name="pago 5" dataDxfId="91"/>
    <tableColumn id="11" xr3:uid="{20D2AE03-D58F-4228-80DE-FD81047FCC38}" name="total" dataDxfId="90"/>
    <tableColumn id="12" xr3:uid="{CA598A33-DF5B-4CD4-BFF8-DC34416E5968}" name="Columna1" dataDxfId="89"/>
    <tableColumn id="13" xr3:uid="{9C7C8B15-B760-4287-AD27-58673547CCAD}" name="Columna2" dataDxfId="8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8987D60-5D20-4345-BF57-4A7FDEA57BE3}" name="Tabla25" displayName="Tabla25" ref="A1:P14" totalsRowShown="0" headerRowDxfId="87" headerRowBorderDxfId="86" tableBorderDxfId="85">
  <autoFilter ref="A1:P14" xr:uid="{D8987D60-5D20-4345-BF57-4A7FDEA57BE3}"/>
  <tableColumns count="16">
    <tableColumn id="1" xr3:uid="{8263E9AE-3007-4230-A8F8-4E592C0BC9D0}" name="fecha"/>
    <tableColumn id="2" xr3:uid="{67B944AF-51EA-4F8B-A881-A903B2475D28}" name="nombre"/>
    <tableColumn id="3" xr3:uid="{FE30A5BA-319F-4D5A-BC66-0DA128FF05B7}" name="telefono"/>
    <tableColumn id="4" xr3:uid="{4EF6ECCC-7EE1-4D91-A588-0107C5FA54DF}" name="producto"/>
    <tableColumn id="5" xr3:uid="{65FB7146-EAC1-4934-A2BF-222C6ECB9AFA}" name="anticipo"/>
    <tableColumn id="6" xr3:uid="{4243536F-F17F-4BD0-A5BC-8E7A8A4E42C2}" name="pago 1"/>
    <tableColumn id="7" xr3:uid="{802E4A00-58C9-4F1F-AB32-028E38763BF2}" name="pago 2"/>
    <tableColumn id="8" xr3:uid="{C1530A3F-A120-4F28-A1A7-F09A5CA1711A}" name="pago 3"/>
    <tableColumn id="13" xr3:uid="{218FF3D9-29D4-46C1-943B-690BA0B3AB36}" name="pago 32"/>
    <tableColumn id="9" xr3:uid="{140D9FC2-71D7-4ACA-B2A9-96D70131A73E}" name="pago 4"/>
    <tableColumn id="10" xr3:uid="{FC159457-95C7-4090-8B3A-6A0B30BBA05D}" name="pago 5"/>
    <tableColumn id="14" xr3:uid="{DD041C01-2BC0-48C2-9EE8-386DF88D568E}" name="pago 6"/>
    <tableColumn id="15" xr3:uid="{5B024722-7152-4D8F-B41C-60E455920A0E}" name="pago 7"/>
    <tableColumn id="16" xr3:uid="{9E91B994-8669-4325-B32A-D09EF2FD628F}" name="pago 8"/>
    <tableColumn id="11" xr3:uid="{BF4B6A3B-D10C-41A7-9E1C-6222B93D8937}" name="total"/>
    <tableColumn id="12" xr3:uid="{FC9979FA-8B2B-4A90-BE9D-47B38BCAB75C}" name="comentaeios 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DD4A5F3-8BC7-4DD6-9837-FD105704AF80}" name="Tabla26" displayName="Tabla26" ref="A1:L25" totalsRowShown="0" headerRowDxfId="84" headerRowBorderDxfId="83" tableBorderDxfId="82">
  <autoFilter ref="A1:L25" xr:uid="{8DD4A5F3-8BC7-4DD6-9837-FD105704AF80}"/>
  <tableColumns count="12">
    <tableColumn id="1" xr3:uid="{140C0FF7-0D2E-4346-9AF0-F7F4395DF075}" name="fecha"/>
    <tableColumn id="2" xr3:uid="{7B853063-DE8D-43DA-BD47-3D4B10B5E55C}" name="nombre"/>
    <tableColumn id="3" xr3:uid="{83A8A2A4-6E2C-41E8-BF88-34F800683D1E}" name="telefono"/>
    <tableColumn id="4" xr3:uid="{249E6083-6773-4BF7-BFA3-29B3D1F796D2}" name="producto"/>
    <tableColumn id="5" xr3:uid="{53FCFA08-BAD1-4790-A22F-78E656C0CF1A}" name="anticipo"/>
    <tableColumn id="6" xr3:uid="{91BFA0DD-D8B5-4DBA-A8A1-F60CE5EA48DB}" name="pago 1"/>
    <tableColumn id="7" xr3:uid="{6EC6DCF3-0514-4C04-8EAE-279AD9CA1FEF}" name="pago 2"/>
    <tableColumn id="8" xr3:uid="{829FA09D-B8B7-4E17-87A6-C7B3545C9C4A}" name="pago 3"/>
    <tableColumn id="9" xr3:uid="{90D742C6-2958-47A8-A513-E7947E131382}" name="pago 4"/>
    <tableColumn id="10" xr3:uid="{8C44BB33-5E09-4864-ACFA-DDA07900F159}" name="pago 5"/>
    <tableColumn id="11" xr3:uid="{5D9FBCAD-5F38-4024-BA1F-1A688149E044}" name="total"/>
    <tableColumn id="12" xr3:uid="{75D674CE-A97D-4D5D-897B-CA35CD67616D}" name="comentaeios 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E1C72E7-1CE6-4006-A1DC-1C7C00D1CC2E}" name="Tabla28" displayName="Tabla28" ref="A1:M12" totalsRowShown="0" headerRowDxfId="81" headerRowBorderDxfId="80" tableBorderDxfId="79">
  <autoFilter ref="A1:M12" xr:uid="{5E1C72E7-1CE6-4006-A1DC-1C7C00D1CC2E}"/>
  <tableColumns count="13">
    <tableColumn id="1" xr3:uid="{C5BA9971-8E6B-4EEC-84AC-16E5048CE43E}" name="fecha"/>
    <tableColumn id="2" xr3:uid="{53997FA8-CD30-41BA-A635-19D626802C74}" name="nombre"/>
    <tableColumn id="3" xr3:uid="{39E96C16-759B-44BB-80DE-D876210F1283}" name="telefono"/>
    <tableColumn id="4" xr3:uid="{C4061C1A-3E36-4D4C-9EEF-51AFC90BD981}" name="producto"/>
    <tableColumn id="5" xr3:uid="{EF7D60DD-A551-4691-AE2A-60DFC81AFBE9}" name="anticipo"/>
    <tableColumn id="6" xr3:uid="{F4B514FF-FA38-4ACF-89BD-522591670364}" name="pago 1"/>
    <tableColumn id="7" xr3:uid="{A880E818-E124-4120-826E-3C1B44FE46C2}" name="pago 2"/>
    <tableColumn id="8" xr3:uid="{6F610EFF-FEDC-4A6B-BC6C-67D8BB35669D}" name="pago 3"/>
    <tableColumn id="9" xr3:uid="{FD505BCF-AC8E-4DC0-98D5-39C1E4F0CE21}" name="pago 4"/>
    <tableColumn id="10" xr3:uid="{8DB38E46-6B41-4D2B-9047-5B009D295F31}" name="pago 5"/>
    <tableColumn id="14" xr3:uid="{4792D658-AC4D-4009-8D21-98C9DFFFFDC9}" name="pago 6" dataDxfId="78"/>
    <tableColumn id="11" xr3:uid="{523FD04F-B10E-4767-B610-36D2B8F75BCB}" name="total"/>
    <tableColumn id="12" xr3:uid="{1CFEAE16-CADF-4EB6-8A1E-3320D1FAC7CF}" name="comentaeios 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558607F-98C3-4F66-BDD7-564EE44E8011}" name="Tabla24" displayName="Tabla24" ref="A1:N14" totalsRowCount="1" headerRowDxfId="77" headerRowBorderDxfId="76" tableBorderDxfId="75">
  <autoFilter ref="A1:N13" xr:uid="{8558607F-98C3-4F66-BDD7-564EE44E8011}"/>
  <tableColumns count="14">
    <tableColumn id="1" xr3:uid="{F646DEAD-5F22-42BD-8111-14240FD51DA5}" name="fecha"/>
    <tableColumn id="2" xr3:uid="{8E419C57-D898-4B79-ABD3-C3559510357D}" name="nombre"/>
    <tableColumn id="3" xr3:uid="{6FE85437-C133-4CFB-8B44-D8211F3C24C1}" name="telefono"/>
    <tableColumn id="4" xr3:uid="{C0CFB14A-4FCE-404A-AE82-279F02B2D4D4}" name="producto"/>
    <tableColumn id="5" xr3:uid="{51EA2023-79A2-4349-9997-6D8EDE545691}" name="anticipo"/>
    <tableColumn id="6" xr3:uid="{C4165011-8CDB-4C29-97F8-3CC681348C1B}" name="pago 1"/>
    <tableColumn id="7" xr3:uid="{E423457D-C4E1-4DC0-8DC1-36DF1E0F71FC}" name="pago 2"/>
    <tableColumn id="8" xr3:uid="{691D1849-4D21-40D2-B28B-71B3F57352ED}" name="pago 3"/>
    <tableColumn id="9" xr3:uid="{5E2EAD05-A99F-44C6-81D5-BB58AF07984D}" name="pago 4" totalsRowFunction="custom">
      <totalsRowFormula>+I13</totalsRowFormula>
    </tableColumn>
    <tableColumn id="10" xr3:uid="{C5893190-13A5-4BF1-B7D7-8C79C58BCF38}" name="pago 5"/>
    <tableColumn id="14" xr3:uid="{B18094A8-8D87-45A4-955A-E8D959D27473}" name="pago 6" dataDxfId="74"/>
    <tableColumn id="11" xr3:uid="{6124C5DE-5833-4023-8D2F-ABC2F59F0F55}" name="total"/>
    <tableColumn id="12" xr3:uid="{6881D263-478A-4141-94EB-E9AFECF945CF}" name="comentaeios "/>
    <tableColumn id="13" xr3:uid="{6E0A16DA-AC4F-495A-9465-C6A465B6DAB4}" name="Columna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41AE2CF-B44F-4535-A9D6-141B0E7162A4}" name="Tabla27" displayName="Tabla27" ref="A1:P14" totalsRowShown="0" headerRowDxfId="73" headerRowBorderDxfId="72" tableBorderDxfId="71">
  <autoFilter ref="A1:P14" xr:uid="{B41AE2CF-B44F-4535-A9D6-141B0E7162A4}"/>
  <tableColumns count="16">
    <tableColumn id="1" xr3:uid="{C712D158-8685-4702-A895-7DD47118A5D6}" name="fecha"/>
    <tableColumn id="2" xr3:uid="{95272207-DA33-4D66-94DB-6C03972414C0}" name="nombre"/>
    <tableColumn id="3" xr3:uid="{BA86AED6-A835-4B09-8F53-3787FEAC6E40}" name="telefono"/>
    <tableColumn id="4" xr3:uid="{CA30B930-4BB7-4A6E-B43A-46A921E2F0E6}" name="producto"/>
    <tableColumn id="5" xr3:uid="{410DDDB9-FE5D-4292-A0AD-F3251F64B3BB}" name="anticipo"/>
    <tableColumn id="6" xr3:uid="{38CCF867-4614-406E-ADFE-2B6FEC9685FB}" name="pago 1"/>
    <tableColumn id="7" xr3:uid="{15765938-D0E5-4162-A443-6FD1D0ABAEB6}" name="pago 2"/>
    <tableColumn id="8" xr3:uid="{9471BCAB-B968-438A-9734-D6F8A5061651}" name="pago 3"/>
    <tableColumn id="9" xr3:uid="{7757036E-178A-474F-AC2C-7BFFF86FB804}" name=" "/>
    <tableColumn id="10" xr3:uid="{B6B6A807-87D2-402E-A050-D57249A3A4F0}" name="pago 5"/>
    <tableColumn id="14" xr3:uid="{C7C637A1-EE0D-415C-B71F-6E88BB44A83D}" name="pago 6"/>
    <tableColumn id="11" xr3:uid="{6EC4802D-C4DF-4DA2-A761-DD5EFFAF20CA}" name="total"/>
    <tableColumn id="13" xr3:uid="{6E8CBA9B-C532-42B5-98B4-3B7F06F91371}" name="Columna1"/>
    <tableColumn id="15" xr3:uid="{60731338-4DE9-4B4F-88F1-0A3539A1F3C5}" name="Columna2"/>
    <tableColumn id="16" xr3:uid="{BC02F683-2014-4966-B612-A20F48FB295E}" name="Columna3"/>
    <tableColumn id="12" xr3:uid="{DFB477EE-9F14-4037-A4A3-DECDACB0859F}" name="comentaeios 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F938BC1-3CD5-41EC-B079-C11FDCE9F42D}" name="Tabla29" displayName="Tabla29" ref="A1:M9" totalsRowShown="0" headerRowDxfId="70" headerRowBorderDxfId="69" tableBorderDxfId="68">
  <autoFilter ref="A1:M9" xr:uid="{4F938BC1-3CD5-41EC-B079-C11FDCE9F42D}"/>
  <tableColumns count="13">
    <tableColumn id="1" xr3:uid="{4AA88C5C-A696-4C1D-B462-A381AAD8C767}" name="fecha"/>
    <tableColumn id="2" xr3:uid="{189C1A80-9E0A-47DB-B8A2-8052D653AE99}" name="nombre"/>
    <tableColumn id="3" xr3:uid="{D1B280AA-8136-469D-9C09-55238A77F3D7}" name="telefono"/>
    <tableColumn id="4" xr3:uid="{ED12BA39-CDFC-40AC-84DF-8445A337B7F6}" name="producto"/>
    <tableColumn id="5" xr3:uid="{26DF1B92-B631-446F-907C-7738812C3371}" name="anticipo"/>
    <tableColumn id="6" xr3:uid="{C186D2CC-E4F5-4A60-9B21-606D602FB1FA}" name="pago 1"/>
    <tableColumn id="7" xr3:uid="{6E47730C-EE3C-4F51-BE58-06CFDC23C83A}" name="pago 2"/>
    <tableColumn id="8" xr3:uid="{4A070C05-976E-4DF4-9689-51FD6E1361BA}" name="pago 3"/>
    <tableColumn id="9" xr3:uid="{25609245-62FC-4929-97EB-C015CC4A85EA}" name="pago 4"/>
    <tableColumn id="10" xr3:uid="{C0DBD928-7A36-4A7B-A923-5060B080E2DE}" name="pago 5"/>
    <tableColumn id="13" xr3:uid="{C7E53E11-0A98-47C1-AC21-D91A89867626}" name="pago 6"/>
    <tableColumn id="11" xr3:uid="{470C460E-856B-48C5-8589-4E830480894F}" name="total"/>
    <tableColumn id="12" xr3:uid="{6C3BE453-8455-40B7-914B-5FAD6A0DF3F8}" name="comentaeios 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EA9671A-F46D-4953-A389-76D9F784B388}" name="Tabla30" displayName="Tabla30" ref="A1:L13" totalsRowShown="0" headerRowDxfId="67" headerRowBorderDxfId="66" tableBorderDxfId="65">
  <autoFilter ref="A1:L13" xr:uid="{1EA9671A-F46D-4953-A389-76D9F784B388}"/>
  <tableColumns count="12">
    <tableColumn id="1" xr3:uid="{A2F9E594-0E67-4DC5-B372-0550CC7F6E10}" name="fecha"/>
    <tableColumn id="2" xr3:uid="{743D3117-7660-4906-BE26-BDA3233575D0}" name="nombre"/>
    <tableColumn id="3" xr3:uid="{4DBF77EB-4A7B-46B7-9783-45352983B782}" name="telefono"/>
    <tableColumn id="4" xr3:uid="{F79639A9-61A2-4238-B69D-9FB2736FEFE5}" name="producto"/>
    <tableColumn id="5" xr3:uid="{AFBDC328-FC49-4BCC-8F24-0210E3118528}" name="anticipo"/>
    <tableColumn id="6" xr3:uid="{FE4180CE-C8AE-4104-A2D6-C85ADE26C4C2}" name="pago 1"/>
    <tableColumn id="7" xr3:uid="{BF5B73D5-A63D-4A6B-9377-14BF7937C646}" name="pago 2"/>
    <tableColumn id="8" xr3:uid="{6B8C2B77-2726-4721-9F6F-443C1F7B42A6}" name="pago 3"/>
    <tableColumn id="9" xr3:uid="{CADD34D2-A042-40E1-BB4B-CB8F79229A76}" name="pago 4"/>
    <tableColumn id="10" xr3:uid="{603D5F23-29E5-4885-85B7-61C0C8E3255C}" name="pago 5"/>
    <tableColumn id="11" xr3:uid="{BC704AF4-7636-48EB-85BC-17C0444BA211}" name="total"/>
    <tableColumn id="12" xr3:uid="{4BCAB514-5FE8-48E4-9D2F-F00F54C907A5}" name="comentaeios 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F9F2F37-C762-4819-8866-1CC1B4E82962}" name="Tabla33" displayName="Tabla33" ref="A1:P14" totalsRowShown="0" headerRowDxfId="64" headerRowBorderDxfId="63" tableBorderDxfId="62">
  <autoFilter ref="A1:P14" xr:uid="{1F9F2F37-C762-4819-8866-1CC1B4E82962}"/>
  <tableColumns count="16">
    <tableColumn id="1" xr3:uid="{84F6E9F5-3931-4651-B8BF-E2FB36BF4B5B}" name="fecha"/>
    <tableColumn id="2" xr3:uid="{0155A0DF-BE87-46E4-947A-F48A9B24844F}" name="nombre"/>
    <tableColumn id="3" xr3:uid="{D81D4F08-013F-4EF9-8AB3-DBE76AC33736}" name="telefono"/>
    <tableColumn id="4" xr3:uid="{FDA6F270-6593-4488-B739-CF6B05343AE6}" name="producto"/>
    <tableColumn id="5" xr3:uid="{1A2E214B-DDC2-4EF9-9EC0-F4E8AE9D8606}" name="anticipo"/>
    <tableColumn id="6" xr3:uid="{8EBC2B28-B6D0-4E3B-B8F1-4BF115B52ECF}" name="pago 1"/>
    <tableColumn id="7" xr3:uid="{9D6080AD-F900-4617-A453-298A7012FE75}" name="pago 2"/>
    <tableColumn id="8" xr3:uid="{6C8E014F-A820-4B39-B577-868807AC128E}" name="pago 3"/>
    <tableColumn id="9" xr3:uid="{C42314A0-CA71-4B04-9C74-C41577F5A750}" name="pago 4"/>
    <tableColumn id="10" xr3:uid="{C020ED12-E5BE-4EEB-851E-105716BAEF0A}" name="pago 5"/>
    <tableColumn id="14" xr3:uid="{B48D9659-2F79-4643-9F18-1210FAF7340F}" name="pago 6" dataDxfId="61"/>
    <tableColumn id="16" xr3:uid="{01796A57-4059-4DCE-897B-D32E79FBE259}" name="pago 62" dataDxfId="60"/>
    <tableColumn id="15" xr3:uid="{16910F52-72C8-4159-8E4A-1E0CADFEDC47}" name="pago 7" dataDxfId="59"/>
    <tableColumn id="11" xr3:uid="{24F2B0D0-26FA-4222-966C-9BA84A4EA7C4}" name="total"/>
    <tableColumn id="12" xr3:uid="{D949F812-03C0-484D-A658-8261F7329A3E}" name="comentaeios "/>
    <tableColumn id="13" xr3:uid="{271EB107-D4A3-420B-ACAF-BC173019D2B3}" name="Columna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715175E-3B63-417B-BEA6-D65511E03B23}" name="Tabla31" displayName="Tabla31" ref="A1:L12" totalsRowShown="0" headerRowDxfId="58" headerRowBorderDxfId="57" tableBorderDxfId="56">
  <autoFilter ref="A1:L12" xr:uid="{2715175E-3B63-417B-BEA6-D65511E03B23}"/>
  <tableColumns count="12">
    <tableColumn id="1" xr3:uid="{ACC5F75C-8645-4D55-A1CD-F8AD13ADBB52}" name="fecha"/>
    <tableColumn id="2" xr3:uid="{86C16D85-71EB-4ADE-B1FE-ABF05CFAB01C}" name="nombre"/>
    <tableColumn id="3" xr3:uid="{2BF6BC17-AE33-4881-8A88-79D5317E8922}" name="telefono"/>
    <tableColumn id="4" xr3:uid="{21861C46-89F4-4554-9331-22DB4D32FC95}" name="producto"/>
    <tableColumn id="5" xr3:uid="{ED8D5101-762A-4695-A96A-A9D0687C51C5}" name="anticipo"/>
    <tableColumn id="6" xr3:uid="{7124AA3F-F96D-4F6E-AEB9-42FF918190CC}" name="pago 1"/>
    <tableColumn id="7" xr3:uid="{9D163071-7A18-4776-AA13-0FC122A629CC}" name="pago 2"/>
    <tableColumn id="8" xr3:uid="{D35882D4-008C-4372-B58A-1698944E3939}" name="pago 3"/>
    <tableColumn id="9" xr3:uid="{51A4A313-2DE2-4312-A466-81E104F6C0D1}" name="pago 4"/>
    <tableColumn id="10" xr3:uid="{009D7010-6754-470D-81F8-38E4FF78CDE5}" name="pago 5"/>
    <tableColumn id="11" xr3:uid="{7B978ABC-00A8-4EBF-991E-B2C28EE77B42}" name="total"/>
    <tableColumn id="12" xr3:uid="{9A4F0333-7268-4E70-AADE-FFFA4D10F93C}" name="comentaeios 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8CC4FCD-A089-4EF1-B8A1-36309366752C}" name="Tabla35" displayName="Tabla35" ref="A1:S9" totalsRowShown="0" headerRowDxfId="55" headerRowBorderDxfId="54" tableBorderDxfId="53" totalsRowBorderDxfId="52">
  <autoFilter ref="A1:S9" xr:uid="{C8CC4FCD-A089-4EF1-B8A1-36309366752C}"/>
  <tableColumns count="19">
    <tableColumn id="1" xr3:uid="{2F484BD9-3EF3-48AD-B226-3265C8EA6D2D}" name="fecha" dataDxfId="51"/>
    <tableColumn id="2" xr3:uid="{562E9B5D-59E6-4E5A-8B39-50280F7F1F48}" name="nombre" dataDxfId="50"/>
    <tableColumn id="3" xr3:uid="{C8F8635B-7FEA-4238-B127-55784E08D5F4}" name="accesorios" dataDxfId="49"/>
    <tableColumn id="4" xr3:uid="{595DF4E3-F050-4513-8C1A-3C6C769CD782}" name="producto" dataDxfId="48"/>
    <tableColumn id="5" xr3:uid="{1D5439F0-9A3C-4528-8699-57C2258817C8}" name="anticipo" dataDxfId="47"/>
    <tableColumn id="6" xr3:uid="{601D738A-FF63-45DE-A099-2F51A9B25BDB}" name="pago 1" dataDxfId="46"/>
    <tableColumn id="7" xr3:uid="{BF7D8681-1377-4C38-81F8-8A48E19C6E9A}" name="pago 2" dataDxfId="45"/>
    <tableColumn id="8" xr3:uid="{3E06007B-9C28-43A2-8B05-4761AD4996D9}" name="pago 3" dataDxfId="44"/>
    <tableColumn id="9" xr3:uid="{06FA9896-D401-412C-8274-0D250FE7B8DA}" name="pago 4" dataDxfId="43"/>
    <tableColumn id="10" xr3:uid="{E074CF1F-D04C-45EC-BB0E-B8A9A2C6C5E0}" name="pago 5" dataDxfId="42"/>
    <tableColumn id="14" xr3:uid="{D551EF85-31FF-42C6-A6C4-E84D47BBB3B5}" name="pago 6" dataDxfId="41"/>
    <tableColumn id="15" xr3:uid="{9797364D-32E3-497E-9591-C49B2EC268B5}" name="pago 7" dataDxfId="40"/>
    <tableColumn id="16" xr3:uid="{DE76D9A8-A48A-4B8C-B9E0-003819BB2210}" name="pago 8"/>
    <tableColumn id="17" xr3:uid="{D96C7DF0-D665-44A2-8F19-815EA0BAF0EC}" name="pago 9"/>
    <tableColumn id="18" xr3:uid="{233BEE61-3E23-43A7-89FC-2D238CC532DD}" name="pago 10"/>
    <tableColumn id="19" xr3:uid="{8DF607B6-2348-47A2-AA9E-569612141A4E}" name="pago 11"/>
    <tableColumn id="11" xr3:uid="{8036246D-A177-40A3-A139-729BFBDDB538}" name="total" dataDxfId="39"/>
    <tableColumn id="12" xr3:uid="{1F59E664-A6BC-4229-8B41-A7B77973B036}" name="comentarios" dataDxfId="38"/>
    <tableColumn id="13" xr3:uid="{569CD606-2EA8-4A25-A6DB-6917E1525D59}" name="Columna1" dataDxfId="37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0BBD143-48FC-4BA5-9BC8-6501FA640256}" name="Tabla32" displayName="Tabla32" ref="A1:P12" totalsRowShown="0" headerRowDxfId="36" headerRowBorderDxfId="35" tableBorderDxfId="34">
  <autoFilter ref="A1:P12" xr:uid="{40BBD143-48FC-4BA5-9BC8-6501FA640256}"/>
  <tableColumns count="16">
    <tableColumn id="1" xr3:uid="{9B7318E9-02D7-4596-BC5D-A67A7E4CE101}" name="fecha" dataDxfId="33"/>
    <tableColumn id="2" xr3:uid="{8032B30C-399A-4BAE-9F74-50A1D2B42773}" name="nombre" dataDxfId="32"/>
    <tableColumn id="3" xr3:uid="{ABEBF212-59E4-4E9D-B2D6-04FBC46FD633}" name="telefono" dataDxfId="31"/>
    <tableColumn id="4" xr3:uid="{FF6AA88F-6338-44FE-A429-C266A9ADA3D4}" name="producto" dataDxfId="30"/>
    <tableColumn id="5" xr3:uid="{88207C0F-111C-41EF-9AC7-E27EFF11D1BD}" name="anticipo" dataDxfId="29"/>
    <tableColumn id="6" xr3:uid="{D1AA3B1A-2C67-470F-9C2A-BFC1BB75EA33}" name="pago 1" dataDxfId="28"/>
    <tableColumn id="7" xr3:uid="{7D340534-2062-4332-A67D-BDEC31BAF62D}" name="pago 2" dataDxfId="27"/>
    <tableColumn id="8" xr3:uid="{9446F7E4-A00E-4A77-88F4-2A53E88D25CD}" name="pago 3" dataDxfId="26"/>
    <tableColumn id="9" xr3:uid="{B6F420C3-E9E0-46F3-846C-6A0664C55448}" name="pago 4" dataDxfId="25"/>
    <tableColumn id="10" xr3:uid="{D7E8CE5C-CB28-4C9B-9AF1-0EBCB8FAFF29}" name="pago 5" dataDxfId="24"/>
    <tableColumn id="14" xr3:uid="{F957C06B-4572-4F39-9CD6-5FC70EDD64E0}" name="pago 6" dataDxfId="23"/>
    <tableColumn id="15" xr3:uid="{D93D1388-9DEB-45CC-A9CA-0E3221F2D622}" name="pago 7" dataDxfId="22"/>
    <tableColumn id="16" xr3:uid="{4173FCF8-C10B-4575-B804-856F82CA4545}" name="pago 8" dataDxfId="21"/>
    <tableColumn id="11" xr3:uid="{B000925A-7A91-4F18-B865-07936D9E5CF9}" name="total" dataDxfId="20"/>
    <tableColumn id="12" xr3:uid="{FCEE7EE4-EDAB-4E2D-B44B-CA30B4A9142A}" name="comentarios" dataDxfId="19"/>
    <tableColumn id="13" xr3:uid="{7B81842A-54DE-4626-B595-81213AB9A622}" name="Columna1" dataDxfId="1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6017DF7-88EB-4612-92A3-E6F3719EA9AE}" name="Tabla34" displayName="Tabla34" ref="B2:P9" totalsRowShown="0" headerRowDxfId="17" headerRowBorderDxfId="16">
  <autoFilter ref="B2:P9" xr:uid="{A6017DF7-88EB-4612-92A3-E6F3719EA9AE}"/>
  <tableColumns count="15">
    <tableColumn id="1" xr3:uid="{7C7B58C7-FC4F-437B-81A4-3811C57859C8}" name="nombre"/>
    <tableColumn id="2" xr3:uid="{89411B3F-DBEA-45CC-98D4-9F08DE5D8B3F}" name="telefono"/>
    <tableColumn id="15" xr3:uid="{4E836D02-79A8-419B-9D4C-D4D16C08A9E3}" name="accesorias" dataDxfId="15"/>
    <tableColumn id="3" xr3:uid="{EC40CBF6-B1AF-468C-9B39-59B61B0A6253}" name="producto"/>
    <tableColumn id="4" xr3:uid="{9857C779-ABAA-4698-9117-347F683D79D5}" name="anticipo"/>
    <tableColumn id="5" xr3:uid="{DEF32314-3068-41A0-BDF8-2489DDC3F5DA}" name="pago 1"/>
    <tableColumn id="6" xr3:uid="{F5751317-218B-4611-9319-3F45A57D7D37}" name="pago 2"/>
    <tableColumn id="7" xr3:uid="{E156FB84-78C5-4BEB-A0F3-23BEA067DB36}" name="pago 3"/>
    <tableColumn id="8" xr3:uid="{8E50F9AB-4373-407A-824F-9E72D8610DE4}" name="pago 4"/>
    <tableColumn id="9" xr3:uid="{3C96F754-2407-457F-AE57-9B4DBDF069E5}" name="pago 5"/>
    <tableColumn id="14" xr3:uid="{5A2A1AA9-5B27-4C8A-82FD-615FD213D443}" name="pago 6" dataDxfId="14"/>
    <tableColumn id="10" xr3:uid="{8C7EC0E5-4D49-4EA8-9712-4A83F3835EF2}" name="total"/>
    <tableColumn id="11" xr3:uid="{3B2187D8-0B48-4A38-991D-8904848F00C9}" name="comentaeios "/>
    <tableColumn id="12" xr3:uid="{CE50C08C-169F-469D-877C-BA1F84EFE045}" name="Columna1"/>
    <tableColumn id="13" xr3:uid="{ABEA9408-59DD-46C6-826B-2D47A7862A40}" name="Columna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6A36B40-11DC-4341-823E-1AAC882B80CF}" name="Tabla36" displayName="Tabla36" ref="A1:N9" totalsRowShown="0" headerRowDxfId="13" headerRowBorderDxfId="12">
  <autoFilter ref="A1:N9" xr:uid="{36A36B40-11DC-4341-823E-1AAC882B80CF}"/>
  <tableColumns count="14">
    <tableColumn id="1" xr3:uid="{5C3E26EC-E567-4ADA-AE5E-D9FFDD4FF40B}" name="fecha"/>
    <tableColumn id="2" xr3:uid="{12B25075-81C8-4949-8A68-7F5CE5656D17}" name="nombre"/>
    <tableColumn id="3" xr3:uid="{42AF36F4-A694-4277-92A4-9544400D241E}" name="telefono"/>
    <tableColumn id="4" xr3:uid="{2D3CFFD7-B6F1-43C3-ADEF-E85770E6B99A}" name="producto"/>
    <tableColumn id="5" xr3:uid="{3A7BA137-10C1-4AEF-9F03-6C03488AD61B}" name="anticipo"/>
    <tableColumn id="6" xr3:uid="{641B007F-D2DC-402E-A8D0-64EC40F691ED}" name="pago 1"/>
    <tableColumn id="7" xr3:uid="{F5BF84DF-0512-4694-89A5-57248E7E7766}" name="pago 2"/>
    <tableColumn id="8" xr3:uid="{8DC8FBC4-B942-415D-B058-4655BD7B8EDC}" name="pago 3"/>
    <tableColumn id="9" xr3:uid="{444166A8-40C0-4046-841F-BAE99A289CD9}" name="pago 4"/>
    <tableColumn id="10" xr3:uid="{9F686D70-7514-41DF-A17D-F4257B5A2DCA}" name="pago 5"/>
    <tableColumn id="13" xr3:uid="{3E3DA049-FC46-4074-886F-FB1468747E18}" name="pago 6"/>
    <tableColumn id="11" xr3:uid="{B13A25AF-F121-4622-B3E8-669997FE2B20}" name="total"/>
    <tableColumn id="12" xr3:uid="{44882420-2485-4EC4-818F-3162AA79CB47}" name="comentaeios "/>
    <tableColumn id="14" xr3:uid="{F288CDA0-6FA8-433C-BC62-CE48C9EB3A9C}" name="Columna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DBED4E6-6012-45EF-BB44-27B5C6AA6FEF}" name="Tabla37" displayName="Tabla37" ref="A1:M12" totalsRowShown="0" headerRowDxfId="11" headerRowBorderDxfId="10" tableBorderDxfId="9">
  <autoFilter ref="A1:M12" xr:uid="{BDBED4E6-6012-45EF-BB44-27B5C6AA6FEF}"/>
  <tableColumns count="13">
    <tableColumn id="1" xr3:uid="{50FCCDE1-68DD-4282-80A8-39CD6FCC8EEF}" name="fecha"/>
    <tableColumn id="2" xr3:uid="{A005186E-9098-48F2-8EE3-34AAA4ADEAB0}" name="nombre"/>
    <tableColumn id="3" xr3:uid="{C5A13B42-0354-4C58-AA4E-A7D6EBD5B8D3}" name="telefono"/>
    <tableColumn id="4" xr3:uid="{7F3803FF-D9A9-4CC0-975A-600D93CD4444}" name="producto"/>
    <tableColumn id="5" xr3:uid="{4A977E90-B59D-4E53-9802-4ABC9E378CFE}" name="anticipo"/>
    <tableColumn id="6" xr3:uid="{8CB1FB62-FB97-4577-9FBB-24BB44A8F148}" name="pago 1"/>
    <tableColumn id="7" xr3:uid="{6E42B2B6-E399-4E44-8B76-81C5CDC30796}" name="pago 2"/>
    <tableColumn id="8" xr3:uid="{CD9A8077-DA2E-41A2-BB97-A5D83EA549EC}" name="pago 3"/>
    <tableColumn id="9" xr3:uid="{7FAC795E-ED38-47E7-A6B2-5046C9C6C469}" name="pago 4"/>
    <tableColumn id="13" xr3:uid="{7C45DD1C-AE30-43B6-B200-3309D149858D}" name="pago 42"/>
    <tableColumn id="10" xr3:uid="{213DABA6-4ADD-4A7E-AF51-8FFE7C6F2E4A}" name="pago 5"/>
    <tableColumn id="11" xr3:uid="{919B8554-8533-44DD-A104-738315195520}" name="total"/>
    <tableColumn id="12" xr3:uid="{C0276648-1306-4B21-8674-5BC362EEAD00}" name="comentaeios 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42DAE08-7D30-4F7B-A737-965F261BDA09}" name="Tabla39" displayName="Tabla39" ref="A1:L10" totalsRowShown="0" headerRowDxfId="8" headerRowBorderDxfId="7" tableBorderDxfId="6">
  <autoFilter ref="A1:L10" xr:uid="{D42DAE08-7D30-4F7B-A737-965F261BDA09}"/>
  <tableColumns count="12">
    <tableColumn id="1" xr3:uid="{372D512F-F896-43CD-B611-6F62C4E05705}" name="fecha"/>
    <tableColumn id="2" xr3:uid="{99FADB5E-7087-4FF5-900E-4D448E9EFF12}" name="nombre"/>
    <tableColumn id="3" xr3:uid="{78377016-F754-4D50-B679-E3C98FDEA2A3}" name="Columna1"/>
    <tableColumn id="4" xr3:uid="{A32D63F3-979D-43C1-B441-DE5764D39C30}" name="producto"/>
    <tableColumn id="5" xr3:uid="{CF7D0F58-753D-491E-BEFD-5FC91CC2B37B}" name="anticipo"/>
    <tableColumn id="6" xr3:uid="{706E87A1-FBF8-44A0-AB04-4FC65E1ADF8F}" name="pago 1"/>
    <tableColumn id="7" xr3:uid="{2EE2A5D9-6E70-49BE-9C3F-B533226F7D74}" name="pago 2"/>
    <tableColumn id="8" xr3:uid="{6A316325-41E1-4F44-9379-2F54A116C784}" name="pago 3"/>
    <tableColumn id="9" xr3:uid="{7AEE639B-6067-4CEC-9EC4-4F760D7DEC69}" name="pago 4"/>
    <tableColumn id="10" xr3:uid="{6CEBF75E-93C0-4960-BD0E-1D71C06F474E}" name="pago 5"/>
    <tableColumn id="11" xr3:uid="{F0CFFC57-FCA7-4802-A23F-2D3062E20BBA}" name="total"/>
    <tableColumn id="12" xr3:uid="{BAB627AC-7515-41AA-9932-6B57FEAE9AE1}" name="comentaeios 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1207154-117F-4A56-8313-6A35C6001B19}" name="Tabla38" displayName="Tabla38" ref="A1:L24" totalsRowShown="0" headerRowDxfId="5" headerRowBorderDxfId="4" tableBorderDxfId="3">
  <autoFilter ref="A1:L24" xr:uid="{B1207154-117F-4A56-8313-6A35C6001B19}">
    <filterColumn colId="0">
      <filters blank="1">
        <dateGroupItem year="2026" month="2" day="4" dateTimeGrouping="day"/>
      </filters>
    </filterColumn>
  </autoFilter>
  <tableColumns count="12">
    <tableColumn id="1" xr3:uid="{22CCF643-4DE6-4EBA-88F2-CCB5BD4074F8}" name="fecha"/>
    <tableColumn id="2" xr3:uid="{19662A60-1A0E-49F7-95CC-E5BD5404F297}" name="nombre"/>
    <tableColumn id="3" xr3:uid="{59363B8D-BE02-43F9-A123-582BD461A639}" name="telefono"/>
    <tableColumn id="4" xr3:uid="{C9FEA301-07A9-460F-BED3-E0D4D31693FF}" name="producto"/>
    <tableColumn id="5" xr3:uid="{71DE1357-A72E-4948-95F2-4FBE24F931E0}" name="anticipo"/>
    <tableColumn id="6" xr3:uid="{DFF3441F-07DE-439F-9190-D4A6668F1AA1}" name="pago 1"/>
    <tableColumn id="7" xr3:uid="{0B96AC71-BB99-45EC-944D-3614DD4C476C}" name="pago 2"/>
    <tableColumn id="8" xr3:uid="{92D1FDB1-06D0-484B-AEEF-BA64B7ABDB03}" name="pago 3"/>
    <tableColumn id="9" xr3:uid="{827C67A7-BE2B-4B7A-8DE9-E67868F64B62}" name="pago 4"/>
    <tableColumn id="10" xr3:uid="{F680A642-A96C-4392-9AB5-00C670988C6C}" name="pago 5"/>
    <tableColumn id="11" xr3:uid="{00199F3E-405A-45D2-BBD5-E7873F6D9077}" name="total"/>
    <tableColumn id="12" xr3:uid="{E3379F59-5759-4E31-93FE-C4551B25EB62}" name="comentaeios 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830A474-1286-494C-84C0-9E2C4D49040F}" name="Tabla41" displayName="Tabla41" ref="A1:L12" totalsRowShown="0" headerRowDxfId="2" headerRowBorderDxfId="1" tableBorderDxfId="0">
  <autoFilter ref="A1:L12" xr:uid="{2830A474-1286-494C-84C0-9E2C4D49040F}"/>
  <tableColumns count="12">
    <tableColumn id="1" xr3:uid="{010ED46B-33EE-40DB-BCCC-64066520F3DA}" name="fecha"/>
    <tableColumn id="2" xr3:uid="{B4FD5EA6-FBD3-4EF6-8D0D-50319901A481}" name="nombre"/>
    <tableColumn id="3" xr3:uid="{1F83E805-1AB6-4831-BD91-2AA876757957}" name="telefono"/>
    <tableColumn id="4" xr3:uid="{3A2A9F9D-63AC-4087-B663-3E4662FE096A}" name="producto"/>
    <tableColumn id="5" xr3:uid="{D7C99AFE-BEAD-4152-BC11-A63274BFD3D9}" name="anticipo"/>
    <tableColumn id="6" xr3:uid="{76BBFEE3-A456-4980-92ED-067DA464322C}" name="pago 1"/>
    <tableColumn id="7" xr3:uid="{B42C32CA-923D-41EB-9588-A98F98F3CD4D}" name="pago 2"/>
    <tableColumn id="8" xr3:uid="{E70B1133-9DB0-4606-9AF3-F83508457879}" name="pago 3"/>
    <tableColumn id="9" xr3:uid="{3CBD2BBB-6BB3-457D-9D10-F7BE5E2A4169}" name="pago 4"/>
    <tableColumn id="10" xr3:uid="{80D59649-ED28-47E0-9C09-4C31C1FA52AE}" name="pago 5"/>
    <tableColumn id="11" xr3:uid="{8E90981F-1E70-462B-B00A-3207ABFF24D0}" name="total"/>
    <tableColumn id="12" xr3:uid="{74731382-BCA0-41FE-87C0-123F06330AEB}" name="comentario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748783C-47AC-4712-993D-EE680FE67686}" name="Tabla40" displayName="Tabla40" ref="A1:L13" totalsRowShown="0" headerRowDxfId="181" headerRowBorderDxfId="180" tableBorderDxfId="179">
  <autoFilter ref="A1:L13" xr:uid="{E748783C-47AC-4712-993D-EE680FE67686}"/>
  <tableColumns count="12">
    <tableColumn id="1" xr3:uid="{A0A34609-4599-4DED-B0E8-7B6011BF2315}" name="fecha"/>
    <tableColumn id="2" xr3:uid="{095B07E7-A75F-4DFD-B7AF-EAF63B36006F}" name="nombre"/>
    <tableColumn id="3" xr3:uid="{7B401F09-D3AD-4CA2-B1ED-8C9B62BB36D8}" name="telefono"/>
    <tableColumn id="4" xr3:uid="{C0717B49-B2EF-4418-84BB-1AEE258E2554}" name="producto"/>
    <tableColumn id="5" xr3:uid="{6AC4F770-FF3D-4446-923E-E0AA5ACD9B45}" name="anticipo"/>
    <tableColumn id="6" xr3:uid="{C9DECBC0-D144-44A5-902D-3F104191343E}" name="pago 1"/>
    <tableColumn id="7" xr3:uid="{E1EFAB80-953D-435B-A1A4-A4AD7280B04C}" name="pago 2"/>
    <tableColumn id="8" xr3:uid="{27B47574-7543-4EF5-9BA0-B0971AD428ED}" name="pago 3"/>
    <tableColumn id="9" xr3:uid="{31F67B38-08B9-445F-863C-AC06B87470C2}" name="pago 4"/>
    <tableColumn id="10" xr3:uid="{06631701-62E0-4630-A02C-04A599901C19}" name="pago 5"/>
    <tableColumn id="11" xr3:uid="{87478090-377D-424D-BF28-65030F7C18B0}" name="total"/>
    <tableColumn id="12" xr3:uid="{A8047243-8340-483F-BDD8-CA487B8EEFDC}" name="comentaeio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/>
  </sheetViews>
  <sheetFormatPr baseColWidth="10" defaultRowHeight="15" x14ac:dyDescent="0.25"/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 t="s">
        <v>4</v>
      </c>
    </row>
    <row r="2" spans="1:13" x14ac:dyDescent="0.25">
      <c r="A2" s="4" t="s">
        <v>56</v>
      </c>
      <c r="B2" s="4" t="s">
        <v>57</v>
      </c>
      <c r="C2" s="4" t="s">
        <v>58</v>
      </c>
      <c r="D2" s="4"/>
      <c r="E2" s="4" t="s">
        <v>59</v>
      </c>
      <c r="F2" s="4">
        <v>2700</v>
      </c>
      <c r="G2" s="4">
        <v>4050</v>
      </c>
      <c r="H2" s="4"/>
      <c r="I2" s="4"/>
      <c r="J2" s="4" t="s">
        <v>60</v>
      </c>
    </row>
    <row r="3" spans="1:13" x14ac:dyDescent="0.25">
      <c r="A3" s="5" t="s">
        <v>61</v>
      </c>
      <c r="B3" s="4" t="s">
        <v>62</v>
      </c>
      <c r="C3" s="5" t="s">
        <v>63</v>
      </c>
      <c r="D3" s="4"/>
      <c r="E3" s="4" t="s">
        <v>26</v>
      </c>
      <c r="F3" s="4">
        <v>2470</v>
      </c>
      <c r="G3" s="4">
        <v>3680</v>
      </c>
      <c r="H3" s="4"/>
      <c r="I3" s="4"/>
      <c r="J3" s="4" t="s">
        <v>60</v>
      </c>
    </row>
    <row r="4" spans="1:13" x14ac:dyDescent="0.25">
      <c r="A4" s="33">
        <v>43129</v>
      </c>
      <c r="B4" s="10" t="s">
        <v>169</v>
      </c>
      <c r="C4" s="10">
        <v>2019</v>
      </c>
      <c r="D4" s="33"/>
      <c r="E4" s="10" t="s">
        <v>64</v>
      </c>
      <c r="F4" s="10" t="s">
        <v>191</v>
      </c>
      <c r="G4" s="10" t="s">
        <v>194</v>
      </c>
      <c r="H4" s="10" t="s">
        <v>65</v>
      </c>
      <c r="I4" s="10"/>
      <c r="J4" s="10" t="s">
        <v>67</v>
      </c>
      <c r="K4" s="41" t="s">
        <v>193</v>
      </c>
      <c r="M4" s="42" t="s">
        <v>255</v>
      </c>
    </row>
    <row r="5" spans="1:13" x14ac:dyDescent="0.25">
      <c r="A5" s="1"/>
      <c r="B5" s="1"/>
      <c r="C5" s="3"/>
      <c r="D5" s="1"/>
      <c r="E5" s="1"/>
      <c r="F5" s="1" t="s">
        <v>82</v>
      </c>
      <c r="G5" s="1" t="s">
        <v>107</v>
      </c>
      <c r="H5" s="1" t="s">
        <v>192</v>
      </c>
      <c r="I5" s="1"/>
      <c r="J5" s="1"/>
    </row>
    <row r="6" spans="1:13" x14ac:dyDescent="0.25">
      <c r="A6" s="1"/>
      <c r="B6" s="1"/>
      <c r="C6" s="2"/>
      <c r="D6" s="1"/>
      <c r="E6" s="1"/>
      <c r="F6" s="1"/>
      <c r="G6" s="1"/>
      <c r="H6" s="1"/>
      <c r="I6" s="1"/>
      <c r="J6" s="1"/>
    </row>
    <row r="7" spans="1:13" x14ac:dyDescent="0.25">
      <c r="A7" s="1"/>
      <c r="B7" s="1"/>
      <c r="C7" s="2"/>
      <c r="D7" s="1"/>
      <c r="E7" s="1"/>
      <c r="F7" s="1"/>
      <c r="G7" s="1" t="s">
        <v>241</v>
      </c>
      <c r="H7" s="1"/>
      <c r="I7" s="1"/>
      <c r="J7" s="1"/>
    </row>
    <row r="8" spans="1:13" x14ac:dyDescent="0.25">
      <c r="A8" s="1"/>
      <c r="B8" s="1"/>
      <c r="C8" s="1"/>
      <c r="D8" s="1"/>
      <c r="E8" s="1"/>
      <c r="F8" s="1"/>
      <c r="G8" s="1" t="s">
        <v>242</v>
      </c>
      <c r="H8" s="1"/>
      <c r="I8" s="1"/>
      <c r="J8" s="1"/>
    </row>
    <row r="9" spans="1:13" x14ac:dyDescent="0.25">
      <c r="A9" s="1"/>
      <c r="B9" s="1"/>
      <c r="C9" s="1"/>
      <c r="D9" s="1"/>
      <c r="E9" s="1"/>
      <c r="F9" s="1"/>
      <c r="G9" s="1" t="s">
        <v>243</v>
      </c>
      <c r="H9" s="1"/>
      <c r="I9" s="1"/>
      <c r="J9" s="1"/>
    </row>
    <row r="10" spans="1:13" x14ac:dyDescent="0.25">
      <c r="A10" s="1"/>
      <c r="B10" s="1"/>
      <c r="C10" s="1"/>
      <c r="D10" s="1"/>
      <c r="E10" s="1"/>
      <c r="F10" s="1"/>
      <c r="G10" s="1" t="s">
        <v>244</v>
      </c>
      <c r="H10" s="1"/>
      <c r="I10" s="1"/>
      <c r="J10" s="1"/>
    </row>
    <row r="11" spans="1:13" x14ac:dyDescent="0.25">
      <c r="A11" s="1"/>
      <c r="B11" s="1"/>
      <c r="C11" s="1"/>
      <c r="D11" s="1"/>
      <c r="E11" s="1"/>
      <c r="F11" s="1"/>
      <c r="G11" s="1" t="s">
        <v>245</v>
      </c>
      <c r="H11" s="1"/>
      <c r="I11" s="1"/>
      <c r="J11" s="1"/>
    </row>
    <row r="12" spans="1:13" x14ac:dyDescent="0.25">
      <c r="A12" s="1"/>
      <c r="B12" s="1"/>
      <c r="C12" s="2"/>
      <c r="D12" s="1"/>
      <c r="E12" s="1"/>
      <c r="F12" s="1"/>
      <c r="G12" s="1" t="s">
        <v>246</v>
      </c>
      <c r="H12" s="1"/>
      <c r="I12" s="1"/>
      <c r="J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25">
      <c r="A14" s="1"/>
      <c r="B14" s="1"/>
      <c r="C14" s="2"/>
      <c r="D14" s="1"/>
      <c r="E14" s="1"/>
      <c r="F14" s="1"/>
      <c r="G14" s="1" t="s">
        <v>249</v>
      </c>
      <c r="H14" s="1"/>
      <c r="I14" s="1"/>
      <c r="J14" s="1"/>
    </row>
    <row r="15" spans="1:13" x14ac:dyDescent="0.25">
      <c r="A15" s="1"/>
      <c r="B15" s="1"/>
      <c r="C15" s="1"/>
      <c r="D15" s="1"/>
      <c r="E15" s="1"/>
      <c r="F15" s="1"/>
      <c r="G15" s="1" t="s">
        <v>247</v>
      </c>
      <c r="H15" s="1"/>
      <c r="I15" s="1"/>
      <c r="J15" s="1"/>
    </row>
    <row r="16" spans="1:13" x14ac:dyDescent="0.25">
      <c r="A16" s="1"/>
      <c r="B16" s="1"/>
      <c r="C16" s="1"/>
      <c r="D16" s="1"/>
      <c r="E16" s="1"/>
      <c r="F16" s="1"/>
      <c r="G16" s="1" t="s">
        <v>248</v>
      </c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/>
  </sheetViews>
  <sheetFormatPr baseColWidth="10" defaultRowHeight="15" x14ac:dyDescent="0.25"/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 t="s">
        <v>4</v>
      </c>
    </row>
    <row r="2" spans="1:11" x14ac:dyDescent="0.25">
      <c r="A2" s="4" t="s">
        <v>8</v>
      </c>
      <c r="B2" s="4" t="s">
        <v>12</v>
      </c>
      <c r="C2" s="4" t="s">
        <v>11</v>
      </c>
      <c r="D2" s="4" t="s">
        <v>111</v>
      </c>
      <c r="E2" s="4" t="s">
        <v>10</v>
      </c>
      <c r="F2" s="4">
        <v>1870</v>
      </c>
      <c r="G2" s="4">
        <v>2810</v>
      </c>
      <c r="H2" s="4"/>
      <c r="I2" s="4"/>
      <c r="J2" s="4" t="s">
        <v>68</v>
      </c>
    </row>
    <row r="3" spans="1:11" x14ac:dyDescent="0.25">
      <c r="A3" s="5">
        <v>43134</v>
      </c>
      <c r="B3" s="4" t="s">
        <v>13</v>
      </c>
      <c r="C3" s="5">
        <v>43309</v>
      </c>
      <c r="D3" s="4"/>
      <c r="E3" s="4" t="s">
        <v>14</v>
      </c>
      <c r="F3" s="4">
        <v>1870</v>
      </c>
      <c r="G3" s="4">
        <v>1500</v>
      </c>
      <c r="H3" s="4">
        <v>1310</v>
      </c>
      <c r="I3" s="4"/>
      <c r="J3" s="4" t="s">
        <v>4</v>
      </c>
    </row>
    <row r="4" spans="1:11" x14ac:dyDescent="0.25">
      <c r="A4" s="5">
        <v>43134</v>
      </c>
      <c r="B4" s="4" t="s">
        <v>15</v>
      </c>
      <c r="C4" s="4"/>
      <c r="D4" s="4"/>
      <c r="E4" s="4" t="s">
        <v>16</v>
      </c>
      <c r="F4" s="4">
        <v>3600</v>
      </c>
      <c r="G4" s="4"/>
      <c r="H4" s="4"/>
      <c r="I4" s="4"/>
      <c r="J4" s="4" t="s">
        <v>17</v>
      </c>
    </row>
    <row r="5" spans="1:11" x14ac:dyDescent="0.25">
      <c r="A5" s="4" t="s">
        <v>18</v>
      </c>
      <c r="B5" s="4" t="s">
        <v>19</v>
      </c>
      <c r="C5" s="6">
        <v>43221</v>
      </c>
      <c r="D5" s="4"/>
      <c r="E5" s="4" t="s">
        <v>20</v>
      </c>
      <c r="F5" s="4">
        <v>2720</v>
      </c>
      <c r="G5" s="4" t="s">
        <v>50</v>
      </c>
      <c r="H5" s="4">
        <v>2040</v>
      </c>
      <c r="I5" s="4"/>
      <c r="J5" s="4" t="s">
        <v>68</v>
      </c>
    </row>
    <row r="6" spans="1:11" x14ac:dyDescent="0.25">
      <c r="A6" s="4" t="s">
        <v>21</v>
      </c>
      <c r="B6" s="4" t="s">
        <v>22</v>
      </c>
      <c r="C6" s="5">
        <v>43274</v>
      </c>
      <c r="D6" s="4"/>
      <c r="E6" s="4" t="s">
        <v>23</v>
      </c>
      <c r="F6" s="4">
        <v>2000</v>
      </c>
      <c r="G6" s="4" t="s">
        <v>27</v>
      </c>
      <c r="H6" s="4"/>
      <c r="I6" s="4"/>
      <c r="J6" s="4"/>
    </row>
    <row r="7" spans="1:11" x14ac:dyDescent="0.25">
      <c r="A7" s="4" t="s">
        <v>24</v>
      </c>
      <c r="B7" s="4" t="s">
        <v>25</v>
      </c>
      <c r="C7" s="5">
        <v>43259</v>
      </c>
      <c r="D7" s="4"/>
      <c r="E7" s="4" t="s">
        <v>26</v>
      </c>
      <c r="F7" s="4">
        <v>2700</v>
      </c>
      <c r="G7" s="4" t="s">
        <v>49</v>
      </c>
      <c r="H7" s="4">
        <v>2050</v>
      </c>
      <c r="I7" s="4"/>
      <c r="J7" s="4" t="s">
        <v>68</v>
      </c>
    </row>
    <row r="8" spans="1:11" x14ac:dyDescent="0.25">
      <c r="A8" s="4" t="s">
        <v>28</v>
      </c>
      <c r="B8" s="4" t="s">
        <v>29</v>
      </c>
      <c r="C8" s="4" t="s">
        <v>30</v>
      </c>
      <c r="D8" s="4"/>
      <c r="E8" s="4" t="s">
        <v>31</v>
      </c>
      <c r="F8" s="4">
        <v>3500</v>
      </c>
      <c r="G8" s="4">
        <v>2000</v>
      </c>
      <c r="H8" s="4">
        <v>4225</v>
      </c>
      <c r="I8" s="4"/>
      <c r="J8" s="4" t="s">
        <v>113</v>
      </c>
    </row>
    <row r="9" spans="1:11" x14ac:dyDescent="0.25">
      <c r="A9" s="4" t="s">
        <v>32</v>
      </c>
      <c r="B9" s="4" t="s">
        <v>33</v>
      </c>
      <c r="C9" s="4"/>
      <c r="D9" s="4"/>
      <c r="E9" s="4" t="s">
        <v>31</v>
      </c>
      <c r="F9" s="4">
        <v>4000</v>
      </c>
      <c r="G9" s="4">
        <v>5250</v>
      </c>
      <c r="H9" s="4"/>
      <c r="I9" s="4"/>
      <c r="J9" s="4" t="s">
        <v>68</v>
      </c>
    </row>
    <row r="10" spans="1:11" x14ac:dyDescent="0.25">
      <c r="A10" s="4" t="s">
        <v>34</v>
      </c>
      <c r="B10" s="4" t="s">
        <v>83</v>
      </c>
      <c r="C10" s="4"/>
      <c r="D10" s="4"/>
      <c r="E10" s="4" t="s">
        <v>35</v>
      </c>
      <c r="F10" s="4">
        <v>3240</v>
      </c>
      <c r="G10" s="4">
        <v>2360</v>
      </c>
      <c r="H10" s="4">
        <v>2500</v>
      </c>
      <c r="I10" s="4"/>
      <c r="J10" s="4" t="s">
        <v>68</v>
      </c>
    </row>
    <row r="11" spans="1:11" x14ac:dyDescent="0.25">
      <c r="A11" s="4" t="s">
        <v>36</v>
      </c>
      <c r="B11" s="4" t="s">
        <v>37</v>
      </c>
      <c r="C11" s="4"/>
      <c r="D11" s="4"/>
      <c r="E11" s="4" t="s">
        <v>38</v>
      </c>
      <c r="F11" s="4">
        <v>3500</v>
      </c>
      <c r="G11" s="4">
        <v>2600</v>
      </c>
      <c r="H11" s="4">
        <v>2500</v>
      </c>
      <c r="I11" s="4"/>
      <c r="J11" s="4" t="s">
        <v>68</v>
      </c>
    </row>
    <row r="12" spans="1:11" x14ac:dyDescent="0.25">
      <c r="A12" s="4" t="s">
        <v>36</v>
      </c>
      <c r="B12" s="4" t="s">
        <v>39</v>
      </c>
      <c r="C12" s="5">
        <v>43225</v>
      </c>
      <c r="D12" s="4"/>
      <c r="E12" s="4" t="s">
        <v>20</v>
      </c>
      <c r="F12" s="4">
        <v>2500</v>
      </c>
      <c r="G12" s="4" t="s">
        <v>48</v>
      </c>
      <c r="H12" s="4" t="s">
        <v>81</v>
      </c>
      <c r="I12" s="4"/>
      <c r="J12" s="4"/>
    </row>
    <row r="13" spans="1:11" x14ac:dyDescent="0.25">
      <c r="A13" s="4" t="s">
        <v>36</v>
      </c>
      <c r="B13" s="4" t="s">
        <v>40</v>
      </c>
      <c r="C13" s="4"/>
      <c r="D13" s="4"/>
      <c r="E13" s="4" t="s">
        <v>41</v>
      </c>
      <c r="F13" s="4">
        <v>3420</v>
      </c>
      <c r="G13" s="4" t="s">
        <v>66</v>
      </c>
      <c r="H13" s="4">
        <v>3500</v>
      </c>
      <c r="I13" s="4"/>
      <c r="J13" s="4" t="s">
        <v>68</v>
      </c>
      <c r="K13">
        <v>8110499169</v>
      </c>
    </row>
    <row r="14" spans="1:11" x14ac:dyDescent="0.25">
      <c r="A14" s="4" t="s">
        <v>42</v>
      </c>
      <c r="B14" s="4" t="s">
        <v>43</v>
      </c>
      <c r="C14" s="5">
        <v>43394</v>
      </c>
      <c r="D14" s="4"/>
      <c r="E14" s="4" t="s">
        <v>44</v>
      </c>
      <c r="F14" s="4">
        <v>3300</v>
      </c>
      <c r="G14" s="4">
        <v>2430</v>
      </c>
      <c r="H14" s="4">
        <v>2370</v>
      </c>
      <c r="I14" s="4">
        <v>1200</v>
      </c>
      <c r="J14" s="4" t="s">
        <v>4</v>
      </c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workbookViewId="0"/>
  </sheetViews>
  <sheetFormatPr baseColWidth="10" defaultRowHeight="15" x14ac:dyDescent="0.25"/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 t="s">
        <v>4</v>
      </c>
    </row>
    <row r="2" spans="1:13" x14ac:dyDescent="0.25">
      <c r="A2" s="4" t="s">
        <v>45</v>
      </c>
      <c r="B2" s="4" t="s">
        <v>46</v>
      </c>
      <c r="C2" s="4" t="s">
        <v>54</v>
      </c>
      <c r="D2" s="4"/>
      <c r="E2" s="4" t="s">
        <v>47</v>
      </c>
      <c r="F2" s="4">
        <v>2500</v>
      </c>
      <c r="G2" s="4">
        <v>3450</v>
      </c>
      <c r="H2" s="4"/>
      <c r="I2" s="4"/>
      <c r="J2" s="4"/>
      <c r="K2" s="4"/>
      <c r="L2" s="4" t="s">
        <v>60</v>
      </c>
    </row>
    <row r="3" spans="1:13" x14ac:dyDescent="0.25">
      <c r="A3" s="5" t="s">
        <v>51</v>
      </c>
      <c r="B3" s="4"/>
      <c r="C3" s="4" t="s">
        <v>53</v>
      </c>
      <c r="D3" s="4"/>
      <c r="E3" s="4" t="s">
        <v>52</v>
      </c>
      <c r="F3" s="4">
        <v>2600</v>
      </c>
      <c r="G3" s="4">
        <v>2000</v>
      </c>
      <c r="H3" s="4">
        <v>2100</v>
      </c>
      <c r="I3" s="4"/>
      <c r="J3" s="4"/>
      <c r="K3" s="4"/>
      <c r="L3" s="4" t="s">
        <v>60</v>
      </c>
    </row>
    <row r="4" spans="1:13" x14ac:dyDescent="0.25">
      <c r="A4" s="5">
        <v>43165</v>
      </c>
      <c r="B4" s="4" t="s">
        <v>118</v>
      </c>
      <c r="C4" s="5">
        <v>43331</v>
      </c>
      <c r="D4" s="4"/>
      <c r="E4" s="4" t="s">
        <v>55</v>
      </c>
      <c r="F4" s="4">
        <v>2600</v>
      </c>
      <c r="G4" s="4">
        <v>2000</v>
      </c>
      <c r="H4" s="4">
        <v>2000</v>
      </c>
      <c r="I4" s="4"/>
      <c r="J4" s="4"/>
      <c r="K4" s="4"/>
      <c r="L4" s="4"/>
    </row>
    <row r="5" spans="1:13" x14ac:dyDescent="0.25">
      <c r="A5" s="4" t="s">
        <v>69</v>
      </c>
      <c r="B5" s="4" t="s">
        <v>70</v>
      </c>
      <c r="C5" s="4" t="s">
        <v>71</v>
      </c>
      <c r="D5" s="4"/>
      <c r="E5" s="4" t="s">
        <v>72</v>
      </c>
      <c r="F5" s="4">
        <v>3200</v>
      </c>
      <c r="G5" s="4">
        <v>1020</v>
      </c>
      <c r="H5" s="4">
        <v>3160</v>
      </c>
      <c r="I5" s="4"/>
      <c r="J5" s="4"/>
      <c r="K5" s="4"/>
      <c r="L5" s="4">
        <v>10550</v>
      </c>
    </row>
    <row r="6" spans="1:13" x14ac:dyDescent="0.25">
      <c r="A6" s="4" t="s">
        <v>69</v>
      </c>
      <c r="B6" s="4" t="s">
        <v>73</v>
      </c>
      <c r="C6" s="6">
        <v>43497</v>
      </c>
      <c r="D6" s="4"/>
      <c r="E6" s="4" t="s">
        <v>74</v>
      </c>
      <c r="F6" s="4">
        <v>2700</v>
      </c>
      <c r="G6" s="4">
        <v>1050</v>
      </c>
      <c r="H6" s="4">
        <v>1000</v>
      </c>
      <c r="I6" s="4">
        <v>1000</v>
      </c>
      <c r="J6" s="4">
        <v>1000</v>
      </c>
      <c r="K6" s="4">
        <v>300</v>
      </c>
      <c r="L6" s="4">
        <v>6750</v>
      </c>
      <c r="M6" s="34">
        <v>8124653413</v>
      </c>
    </row>
    <row r="7" spans="1:13" x14ac:dyDescent="0.25">
      <c r="A7" s="4" t="s">
        <v>75</v>
      </c>
      <c r="B7" s="4" t="s">
        <v>76</v>
      </c>
      <c r="C7" s="4"/>
      <c r="D7" s="4"/>
      <c r="E7" s="4" t="s">
        <v>41</v>
      </c>
      <c r="F7" s="4">
        <v>3800</v>
      </c>
      <c r="G7" s="4">
        <v>5700</v>
      </c>
      <c r="H7" s="4"/>
      <c r="I7" s="4"/>
      <c r="J7" s="4"/>
      <c r="K7" s="4"/>
      <c r="L7" s="4">
        <v>9500</v>
      </c>
    </row>
    <row r="8" spans="1:13" x14ac:dyDescent="0.25">
      <c r="A8" s="4" t="s">
        <v>75</v>
      </c>
      <c r="B8" s="4" t="s">
        <v>77</v>
      </c>
      <c r="C8" s="4"/>
      <c r="D8" s="4"/>
      <c r="E8" s="4" t="s">
        <v>74</v>
      </c>
      <c r="F8" s="4">
        <v>3000</v>
      </c>
      <c r="G8" s="4">
        <v>3000</v>
      </c>
      <c r="H8" s="4">
        <v>1500</v>
      </c>
      <c r="I8" s="4"/>
      <c r="J8" s="4"/>
      <c r="K8" s="4"/>
      <c r="L8" s="4" t="s">
        <v>60</v>
      </c>
    </row>
    <row r="9" spans="1:13" x14ac:dyDescent="0.25">
      <c r="A9" s="4" t="s">
        <v>78</v>
      </c>
      <c r="B9" s="4" t="s">
        <v>79</v>
      </c>
      <c r="C9" s="4" t="s">
        <v>80</v>
      </c>
      <c r="D9" s="4"/>
      <c r="E9" s="4" t="s">
        <v>139</v>
      </c>
      <c r="F9" s="4">
        <v>2100</v>
      </c>
      <c r="G9" s="4">
        <v>1500</v>
      </c>
      <c r="H9" s="4">
        <v>2250</v>
      </c>
      <c r="I9" s="4">
        <v>1000</v>
      </c>
      <c r="J9" s="4"/>
      <c r="K9" s="4"/>
      <c r="L9" s="4">
        <v>6850</v>
      </c>
    </row>
    <row r="10" spans="1:13" x14ac:dyDescent="0.25">
      <c r="A10" s="4" t="s">
        <v>122</v>
      </c>
      <c r="B10" s="4" t="s">
        <v>123</v>
      </c>
      <c r="C10" s="4"/>
      <c r="D10" s="4"/>
      <c r="E10" s="4" t="s">
        <v>109</v>
      </c>
      <c r="F10" s="4">
        <v>2800</v>
      </c>
      <c r="G10" s="4">
        <v>1500</v>
      </c>
      <c r="H10" s="4">
        <v>2820</v>
      </c>
      <c r="I10" s="4"/>
      <c r="J10" s="4"/>
      <c r="K10" s="4"/>
      <c r="L10" s="4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3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3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/>
  </sheetViews>
  <sheetFormatPr baseColWidth="10" defaultRowHeight="15" x14ac:dyDescent="0.25"/>
  <sheetData>
    <row r="1" spans="1:12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4</v>
      </c>
      <c r="J1" s="1"/>
      <c r="K1" s="1"/>
      <c r="L1" s="1"/>
    </row>
    <row r="2" spans="1:12" x14ac:dyDescent="0.25">
      <c r="A2" s="5">
        <v>43197</v>
      </c>
      <c r="B2" s="4" t="s">
        <v>117</v>
      </c>
      <c r="C2" s="5">
        <v>43401</v>
      </c>
      <c r="D2" s="4"/>
      <c r="E2" s="4" t="s">
        <v>84</v>
      </c>
      <c r="F2" s="4">
        <v>4000</v>
      </c>
      <c r="G2" s="4">
        <v>3000</v>
      </c>
      <c r="H2" s="4">
        <v>1500</v>
      </c>
      <c r="I2" s="4">
        <v>1000</v>
      </c>
      <c r="J2" s="4">
        <v>1250</v>
      </c>
      <c r="K2" s="4">
        <v>10700</v>
      </c>
      <c r="L2" s="4">
        <v>8113138915</v>
      </c>
    </row>
    <row r="3" spans="1:12" x14ac:dyDescent="0.25">
      <c r="A3" s="5">
        <v>43197</v>
      </c>
      <c r="B3" s="4" t="s">
        <v>85</v>
      </c>
      <c r="C3" s="5">
        <v>43309</v>
      </c>
      <c r="D3" s="4"/>
      <c r="E3" s="4" t="s">
        <v>110</v>
      </c>
      <c r="F3" s="4">
        <v>2000</v>
      </c>
      <c r="G3" s="4">
        <v>2000</v>
      </c>
      <c r="H3" s="4"/>
      <c r="I3" s="4">
        <v>5040</v>
      </c>
      <c r="J3" s="4"/>
      <c r="K3" s="4"/>
      <c r="L3" s="4">
        <v>8122953451</v>
      </c>
    </row>
    <row r="4" spans="1:12" x14ac:dyDescent="0.25">
      <c r="A4" s="4" t="s">
        <v>86</v>
      </c>
      <c r="B4" s="4" t="s">
        <v>87</v>
      </c>
      <c r="C4" s="5">
        <v>43232</v>
      </c>
      <c r="D4" s="4"/>
      <c r="E4" s="4" t="s">
        <v>16</v>
      </c>
      <c r="F4" s="4">
        <v>3820</v>
      </c>
      <c r="G4" s="4">
        <v>5730</v>
      </c>
      <c r="H4" s="4"/>
      <c r="I4" s="4">
        <v>9550</v>
      </c>
      <c r="J4" s="4"/>
      <c r="K4" s="4"/>
      <c r="L4" s="4">
        <v>8114111518</v>
      </c>
    </row>
    <row r="5" spans="1:12" x14ac:dyDescent="0.25">
      <c r="A5" s="4" t="s">
        <v>88</v>
      </c>
      <c r="B5" s="4" t="s">
        <v>89</v>
      </c>
      <c r="C5" s="5">
        <v>43351</v>
      </c>
      <c r="D5" s="4"/>
      <c r="E5" s="4" t="s">
        <v>72</v>
      </c>
      <c r="F5" s="4">
        <v>3800</v>
      </c>
      <c r="G5" s="4">
        <v>3390</v>
      </c>
      <c r="H5" s="4">
        <v>3360</v>
      </c>
      <c r="I5" s="4"/>
      <c r="J5" s="4"/>
      <c r="K5" s="4"/>
      <c r="L5" s="4">
        <v>8186051025</v>
      </c>
    </row>
    <row r="6" spans="1:12" x14ac:dyDescent="0.25">
      <c r="A6" s="4" t="s">
        <v>90</v>
      </c>
      <c r="B6" s="4" t="s">
        <v>91</v>
      </c>
      <c r="C6" s="6">
        <v>43586</v>
      </c>
      <c r="D6" s="4"/>
      <c r="E6" s="4" t="s">
        <v>92</v>
      </c>
      <c r="F6" s="4">
        <v>3500</v>
      </c>
      <c r="G6" s="4">
        <v>2500</v>
      </c>
      <c r="H6" s="4">
        <v>2200</v>
      </c>
      <c r="I6" s="4">
        <v>8500</v>
      </c>
      <c r="J6" s="4"/>
      <c r="K6" s="4"/>
      <c r="L6" s="4">
        <v>8120741137</v>
      </c>
    </row>
    <row r="7" spans="1:12" x14ac:dyDescent="0.25">
      <c r="A7" s="4" t="s">
        <v>93</v>
      </c>
      <c r="B7" s="4" t="s">
        <v>94</v>
      </c>
      <c r="C7" s="4" t="s">
        <v>95</v>
      </c>
      <c r="D7" s="4"/>
      <c r="E7" s="4" t="s">
        <v>31</v>
      </c>
      <c r="F7" s="4">
        <v>3240</v>
      </c>
      <c r="G7" s="4">
        <v>1860</v>
      </c>
      <c r="H7" s="4">
        <v>1500</v>
      </c>
      <c r="I7" s="4">
        <v>8100</v>
      </c>
      <c r="J7" s="4"/>
      <c r="K7" s="4"/>
      <c r="L7" s="4"/>
    </row>
    <row r="8" spans="1:12" x14ac:dyDescent="0.25">
      <c r="A8" s="4"/>
      <c r="B8" s="4"/>
      <c r="C8" s="4"/>
      <c r="D8" s="4"/>
      <c r="E8" s="4" t="s">
        <v>96</v>
      </c>
      <c r="F8" s="4"/>
      <c r="G8" s="4"/>
      <c r="H8" s="4"/>
      <c r="I8" s="4">
        <v>8500</v>
      </c>
      <c r="J8" s="4"/>
      <c r="K8" s="4"/>
      <c r="L8" s="4"/>
    </row>
    <row r="9" spans="1:12" x14ac:dyDescent="0.25">
      <c r="A9" s="5">
        <v>43220</v>
      </c>
      <c r="B9" s="4" t="s">
        <v>285</v>
      </c>
      <c r="C9" s="8">
        <v>43567</v>
      </c>
      <c r="D9" s="4"/>
      <c r="E9" s="4" t="s">
        <v>14</v>
      </c>
      <c r="F9" s="4">
        <v>1872</v>
      </c>
      <c r="G9" s="4">
        <v>3000</v>
      </c>
      <c r="H9" s="4">
        <v>500</v>
      </c>
      <c r="I9" s="4">
        <v>5280</v>
      </c>
      <c r="J9" s="4"/>
      <c r="K9" s="4"/>
      <c r="L9" s="4">
        <v>8110292196</v>
      </c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 t="s">
        <v>112</v>
      </c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workbookViewId="0"/>
  </sheetViews>
  <sheetFormatPr baseColWidth="10" defaultRowHeight="15" x14ac:dyDescent="0.25"/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 t="s">
        <v>4</v>
      </c>
    </row>
    <row r="2" spans="1:13" x14ac:dyDescent="0.25">
      <c r="A2" s="5">
        <v>43225</v>
      </c>
      <c r="B2" s="4" t="s">
        <v>97</v>
      </c>
      <c r="C2" s="8">
        <v>43393</v>
      </c>
      <c r="D2" s="4"/>
      <c r="E2" s="4" t="s">
        <v>98</v>
      </c>
      <c r="F2" s="4">
        <v>2000</v>
      </c>
      <c r="G2" s="4">
        <v>1800</v>
      </c>
      <c r="H2" s="4">
        <v>2000</v>
      </c>
      <c r="I2" s="4">
        <v>450</v>
      </c>
      <c r="J2" s="4">
        <v>1800</v>
      </c>
      <c r="K2" s="4">
        <v>2150</v>
      </c>
      <c r="L2" s="4">
        <v>10000</v>
      </c>
    </row>
    <row r="3" spans="1:13" x14ac:dyDescent="0.25">
      <c r="A3" s="5">
        <v>43225</v>
      </c>
      <c r="B3" s="4" t="s">
        <v>99</v>
      </c>
      <c r="C3" s="5"/>
      <c r="D3" s="4"/>
      <c r="E3" s="4" t="s">
        <v>100</v>
      </c>
      <c r="F3" s="4">
        <v>3600</v>
      </c>
      <c r="G3" s="4"/>
      <c r="H3" s="4">
        <v>5400</v>
      </c>
      <c r="I3" s="4"/>
      <c r="J3" s="4"/>
      <c r="K3" s="4"/>
      <c r="L3" s="4">
        <v>9000</v>
      </c>
    </row>
    <row r="4" spans="1:13" x14ac:dyDescent="0.25">
      <c r="A4" s="5" t="s">
        <v>132</v>
      </c>
      <c r="B4" s="4" t="s">
        <v>101</v>
      </c>
      <c r="C4" s="5">
        <v>43428</v>
      </c>
      <c r="D4" s="5"/>
      <c r="E4" s="4" t="s">
        <v>72</v>
      </c>
      <c r="F4" s="4">
        <v>2000</v>
      </c>
      <c r="G4" s="4">
        <v>2000</v>
      </c>
      <c r="H4" s="4">
        <v>2000</v>
      </c>
      <c r="I4" s="4">
        <v>1500</v>
      </c>
      <c r="J4" s="4">
        <v>2500</v>
      </c>
      <c r="K4" s="4"/>
      <c r="L4" s="4">
        <v>10000</v>
      </c>
    </row>
    <row r="5" spans="1:13" x14ac:dyDescent="0.25">
      <c r="A5" s="4" t="s">
        <v>102</v>
      </c>
      <c r="B5" s="4" t="s">
        <v>103</v>
      </c>
      <c r="C5" s="6"/>
      <c r="D5" s="4"/>
      <c r="E5" s="4" t="s">
        <v>104</v>
      </c>
      <c r="F5" s="4">
        <v>2600</v>
      </c>
      <c r="G5" s="4">
        <v>760</v>
      </c>
      <c r="H5" s="4">
        <v>2500</v>
      </c>
      <c r="I5" s="4">
        <v>2000</v>
      </c>
      <c r="J5" s="4">
        <v>640</v>
      </c>
      <c r="K5" s="4"/>
      <c r="L5" s="4">
        <v>6500</v>
      </c>
    </row>
    <row r="6" spans="1:13" x14ac:dyDescent="0.25">
      <c r="A6" s="4" t="s">
        <v>105</v>
      </c>
      <c r="B6" s="4" t="s">
        <v>106</v>
      </c>
      <c r="C6" s="5">
        <v>43408</v>
      </c>
      <c r="D6" s="4"/>
      <c r="E6" s="4" t="s">
        <v>44</v>
      </c>
      <c r="F6" s="4">
        <v>1500</v>
      </c>
      <c r="G6" s="4">
        <v>1750</v>
      </c>
      <c r="H6" s="4">
        <v>2430</v>
      </c>
      <c r="I6" s="4">
        <v>2420</v>
      </c>
      <c r="J6" s="4">
        <v>450</v>
      </c>
      <c r="K6" s="4">
        <v>8550</v>
      </c>
      <c r="L6" s="4">
        <v>8100</v>
      </c>
      <c r="M6" t="s">
        <v>284</v>
      </c>
    </row>
    <row r="7" spans="1:13" x14ac:dyDescent="0.25">
      <c r="A7" s="5">
        <v>43239</v>
      </c>
      <c r="B7" s="4" t="s">
        <v>108</v>
      </c>
      <c r="C7" s="5"/>
      <c r="D7" s="4"/>
      <c r="E7" s="4" t="s">
        <v>109</v>
      </c>
      <c r="F7" s="4">
        <v>2700</v>
      </c>
      <c r="G7" s="4">
        <v>1500</v>
      </c>
      <c r="H7" s="4">
        <v>2000</v>
      </c>
      <c r="I7" s="4">
        <v>1900</v>
      </c>
      <c r="J7" s="4"/>
      <c r="K7" s="4"/>
      <c r="L7" s="4">
        <v>8100</v>
      </c>
    </row>
    <row r="8" spans="1:13" x14ac:dyDescent="0.25">
      <c r="A8" s="4" t="s">
        <v>114</v>
      </c>
      <c r="B8" s="4" t="s">
        <v>115</v>
      </c>
      <c r="C8" s="8">
        <v>43344</v>
      </c>
      <c r="D8" s="4"/>
      <c r="E8" s="4" t="s">
        <v>116</v>
      </c>
      <c r="F8" s="4">
        <v>2700</v>
      </c>
      <c r="G8" s="4">
        <v>1800</v>
      </c>
      <c r="H8" s="4">
        <v>2000</v>
      </c>
      <c r="I8" s="4">
        <v>250</v>
      </c>
      <c r="J8" s="4"/>
      <c r="K8" s="4"/>
      <c r="L8" s="4">
        <v>6750</v>
      </c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3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/>
  </sheetViews>
  <sheetFormatPr baseColWidth="10" defaultRowHeight="15" x14ac:dyDescent="0.25"/>
  <sheetData>
    <row r="1" spans="1:12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 t="s">
        <v>4</v>
      </c>
    </row>
    <row r="2" spans="1:12" x14ac:dyDescent="0.25">
      <c r="A2" s="23">
        <v>43253</v>
      </c>
      <c r="B2" s="4" t="s">
        <v>119</v>
      </c>
      <c r="C2" s="4"/>
      <c r="D2" s="5">
        <v>43147</v>
      </c>
      <c r="E2" s="4" t="s">
        <v>72</v>
      </c>
      <c r="F2" s="4">
        <v>4000</v>
      </c>
      <c r="G2" s="4">
        <v>3000</v>
      </c>
      <c r="H2" s="4">
        <v>3000</v>
      </c>
      <c r="I2" s="4"/>
      <c r="J2" s="4">
        <v>10570</v>
      </c>
      <c r="K2" s="4">
        <v>10570</v>
      </c>
      <c r="L2" s="15"/>
    </row>
    <row r="3" spans="1:12" x14ac:dyDescent="0.25">
      <c r="A3" s="23">
        <v>43257</v>
      </c>
      <c r="B3" s="4" t="s">
        <v>149</v>
      </c>
      <c r="C3" s="8">
        <v>43388</v>
      </c>
      <c r="D3" s="5">
        <v>43388</v>
      </c>
      <c r="E3" s="4" t="s">
        <v>120</v>
      </c>
      <c r="F3" s="4">
        <v>1500</v>
      </c>
      <c r="G3" s="4">
        <v>1200</v>
      </c>
      <c r="H3" s="4">
        <v>1000</v>
      </c>
      <c r="I3" s="4">
        <v>1000</v>
      </c>
      <c r="J3" s="4">
        <v>2050</v>
      </c>
      <c r="K3" s="27">
        <v>6750</v>
      </c>
    </row>
    <row r="4" spans="1:12" x14ac:dyDescent="0.25">
      <c r="A4" s="25">
        <v>43260</v>
      </c>
      <c r="B4" s="10" t="s">
        <v>121</v>
      </c>
      <c r="C4" s="26">
        <v>43349</v>
      </c>
      <c r="D4" s="10"/>
      <c r="E4" s="10" t="s">
        <v>74</v>
      </c>
      <c r="F4" s="10">
        <v>2700</v>
      </c>
      <c r="G4" s="10"/>
      <c r="H4" s="10"/>
      <c r="I4" s="10"/>
      <c r="J4" s="10"/>
      <c r="K4" s="28" t="s">
        <v>128</v>
      </c>
    </row>
    <row r="5" spans="1:12" x14ac:dyDescent="0.25">
      <c r="A5" s="24" t="s">
        <v>124</v>
      </c>
      <c r="B5" s="4" t="s">
        <v>125</v>
      </c>
      <c r="C5" s="8">
        <v>43422</v>
      </c>
      <c r="D5" s="4"/>
      <c r="E5" s="4" t="s">
        <v>74</v>
      </c>
      <c r="F5" s="4">
        <v>2000</v>
      </c>
      <c r="G5" s="4">
        <v>700</v>
      </c>
      <c r="H5" s="4">
        <v>2025</v>
      </c>
      <c r="I5" s="4">
        <v>2025</v>
      </c>
      <c r="J5" s="4"/>
      <c r="K5" s="27" t="s">
        <v>4</v>
      </c>
    </row>
    <row r="6" spans="1:12" x14ac:dyDescent="0.25">
      <c r="A6" s="29">
        <v>43264</v>
      </c>
      <c r="B6" s="4" t="s">
        <v>126</v>
      </c>
      <c r="C6" s="8">
        <v>43463</v>
      </c>
      <c r="D6" s="4"/>
      <c r="E6" s="4" t="s">
        <v>96</v>
      </c>
      <c r="F6" s="4">
        <v>1500</v>
      </c>
      <c r="G6" s="4">
        <v>1740</v>
      </c>
      <c r="H6" s="4">
        <v>4860</v>
      </c>
      <c r="I6" s="4"/>
      <c r="J6" s="4"/>
      <c r="K6" s="27" t="s">
        <v>4</v>
      </c>
      <c r="L6" s="15"/>
    </row>
    <row r="7" spans="1:12" x14ac:dyDescent="0.25">
      <c r="A7" s="23">
        <v>43267</v>
      </c>
      <c r="B7" s="4" t="s">
        <v>127</v>
      </c>
      <c r="C7" s="8">
        <v>43463</v>
      </c>
      <c r="D7" s="4"/>
      <c r="E7" s="4" t="s">
        <v>44</v>
      </c>
      <c r="F7" s="4">
        <v>3500</v>
      </c>
      <c r="G7" s="4">
        <v>2500</v>
      </c>
      <c r="H7" s="4">
        <v>2650</v>
      </c>
      <c r="I7" s="4"/>
      <c r="J7" s="4"/>
      <c r="K7" s="27" t="s">
        <v>4</v>
      </c>
      <c r="L7" s="15"/>
    </row>
    <row r="8" spans="1:12" x14ac:dyDescent="0.25">
      <c r="A8" s="43" t="s">
        <v>129</v>
      </c>
      <c r="B8" s="10" t="s">
        <v>148</v>
      </c>
      <c r="C8" s="44">
        <v>43466</v>
      </c>
      <c r="D8" s="10"/>
      <c r="E8" s="10" t="s">
        <v>10</v>
      </c>
      <c r="F8" s="10">
        <v>3000</v>
      </c>
      <c r="G8" s="10">
        <v>1000</v>
      </c>
      <c r="H8" s="10">
        <v>1000</v>
      </c>
      <c r="I8" s="10">
        <v>1000</v>
      </c>
      <c r="J8" s="10"/>
      <c r="K8" s="28">
        <v>7500</v>
      </c>
    </row>
    <row r="9" spans="1:12" x14ac:dyDescent="0.25">
      <c r="A9" s="24" t="s">
        <v>133</v>
      </c>
      <c r="B9" s="4" t="s">
        <v>130</v>
      </c>
      <c r="C9" s="8">
        <v>43321</v>
      </c>
      <c r="D9" s="4"/>
      <c r="E9" s="4" t="s">
        <v>131</v>
      </c>
      <c r="F9" s="4">
        <v>2100</v>
      </c>
      <c r="G9" s="4">
        <v>3000</v>
      </c>
      <c r="H9" s="4">
        <v>100</v>
      </c>
      <c r="I9" s="4"/>
      <c r="J9" s="4"/>
      <c r="K9" s="27">
        <v>5200</v>
      </c>
    </row>
    <row r="10" spans="1:12" ht="45" x14ac:dyDescent="0.25">
      <c r="A10" s="24" t="s">
        <v>134</v>
      </c>
      <c r="B10" s="4" t="s">
        <v>140</v>
      </c>
      <c r="C10" s="6">
        <v>43589</v>
      </c>
      <c r="D10" s="4"/>
      <c r="E10" s="40" t="s">
        <v>240</v>
      </c>
      <c r="F10" s="4">
        <v>3400</v>
      </c>
      <c r="G10" s="4">
        <v>2500</v>
      </c>
      <c r="H10" s="4">
        <v>2200</v>
      </c>
      <c r="I10" s="4">
        <v>400</v>
      </c>
      <c r="J10" s="4"/>
      <c r="K10" s="27">
        <v>10400</v>
      </c>
    </row>
    <row r="11" spans="1:12" x14ac:dyDescent="0.25">
      <c r="A11" s="29">
        <v>43281</v>
      </c>
      <c r="B11" s="4" t="s">
        <v>150</v>
      </c>
      <c r="C11" s="6" t="s">
        <v>251</v>
      </c>
      <c r="D11" s="4"/>
      <c r="E11" s="4" t="s">
        <v>96</v>
      </c>
      <c r="F11" s="4">
        <v>3400</v>
      </c>
      <c r="G11" s="4">
        <v>5000</v>
      </c>
      <c r="H11" s="4">
        <v>100</v>
      </c>
      <c r="I11" s="4"/>
      <c r="J11" s="4"/>
      <c r="K11" s="27">
        <v>8500</v>
      </c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25">
      <c r="J13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baseColWidth="10"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4</v>
      </c>
    </row>
    <row r="2" spans="1:10" x14ac:dyDescent="0.25">
      <c r="A2" s="21">
        <v>43301</v>
      </c>
      <c r="B2" s="22" t="s">
        <v>135</v>
      </c>
      <c r="C2" s="22"/>
      <c r="D2" s="22"/>
      <c r="E2" s="22" t="s">
        <v>44</v>
      </c>
      <c r="F2" s="22">
        <v>2000</v>
      </c>
      <c r="G2" s="22"/>
      <c r="H2" s="22"/>
      <c r="I2" s="22"/>
      <c r="J2" s="9">
        <v>8115428282</v>
      </c>
    </row>
    <row r="3" spans="1:10" x14ac:dyDescent="0.25">
      <c r="A3" s="5">
        <v>43301</v>
      </c>
      <c r="B3" s="4" t="s">
        <v>147</v>
      </c>
      <c r="C3" s="6">
        <v>43525</v>
      </c>
      <c r="D3" s="4"/>
      <c r="E3" s="4" t="s">
        <v>109</v>
      </c>
      <c r="F3" s="4">
        <v>1400</v>
      </c>
      <c r="G3" s="4">
        <v>2400</v>
      </c>
      <c r="H3" s="4">
        <v>2200</v>
      </c>
      <c r="I3" s="4">
        <v>6000</v>
      </c>
      <c r="J3" s="4">
        <v>8124408261</v>
      </c>
    </row>
    <row r="4" spans="1:10" x14ac:dyDescent="0.25">
      <c r="A4" s="5">
        <v>43302</v>
      </c>
      <c r="B4" s="4" t="s">
        <v>136</v>
      </c>
      <c r="C4" s="8">
        <v>43433</v>
      </c>
      <c r="D4" s="4"/>
      <c r="E4" s="4" t="s">
        <v>98</v>
      </c>
      <c r="F4" s="4">
        <v>3040</v>
      </c>
      <c r="G4" s="4">
        <v>4560</v>
      </c>
      <c r="H4" s="4"/>
      <c r="I4" s="4" t="s">
        <v>4</v>
      </c>
      <c r="J4" s="4">
        <v>8122024130</v>
      </c>
    </row>
    <row r="5" spans="1:10" x14ac:dyDescent="0.25">
      <c r="A5" s="18"/>
      <c r="B5" s="15"/>
      <c r="C5" s="19"/>
      <c r="D5" s="15"/>
      <c r="E5" s="15"/>
      <c r="F5" s="20"/>
      <c r="G5" s="15"/>
      <c r="H5" s="15"/>
      <c r="I5" s="15"/>
      <c r="J5" s="15"/>
    </row>
    <row r="6" spans="1:10" x14ac:dyDescent="0.25">
      <c r="A6" s="16"/>
      <c r="C6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/>
  </sheetViews>
  <sheetFormatPr baseColWidth="10" defaultRowHeight="15" x14ac:dyDescent="0.25"/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4</v>
      </c>
      <c r="J1" s="1"/>
    </row>
    <row r="2" spans="1:11" x14ac:dyDescent="0.25">
      <c r="A2" s="11">
        <v>43316</v>
      </c>
      <c r="B2" s="12" t="s">
        <v>166</v>
      </c>
      <c r="C2" s="13">
        <v>43610</v>
      </c>
      <c r="D2" s="12"/>
      <c r="E2" s="12" t="s">
        <v>137</v>
      </c>
      <c r="F2" s="14">
        <v>15000</v>
      </c>
      <c r="G2" s="12"/>
      <c r="H2" s="12"/>
      <c r="I2" s="12" t="s">
        <v>4</v>
      </c>
      <c r="J2" s="4">
        <v>8113305002</v>
      </c>
      <c r="K2" t="s">
        <v>294</v>
      </c>
    </row>
    <row r="3" spans="1:11" x14ac:dyDescent="0.25">
      <c r="A3" s="5">
        <v>43316</v>
      </c>
      <c r="B3" s="4" t="s">
        <v>138</v>
      </c>
      <c r="C3" s="8">
        <v>47319</v>
      </c>
      <c r="D3" s="4"/>
      <c r="E3" s="4" t="s">
        <v>319</v>
      </c>
      <c r="F3" s="4">
        <v>2400</v>
      </c>
      <c r="G3" s="4">
        <v>1830</v>
      </c>
      <c r="H3" s="4">
        <v>2520</v>
      </c>
      <c r="I3" s="4">
        <v>6750</v>
      </c>
      <c r="J3" s="4">
        <v>8112848424</v>
      </c>
      <c r="K3" t="s">
        <v>294</v>
      </c>
    </row>
    <row r="4" spans="1:11" x14ac:dyDescent="0.25">
      <c r="A4" s="5">
        <v>43323</v>
      </c>
      <c r="B4" s="4" t="s">
        <v>141</v>
      </c>
      <c r="C4" s="8">
        <v>43541</v>
      </c>
      <c r="D4" s="4"/>
      <c r="E4" s="4" t="s">
        <v>142</v>
      </c>
      <c r="F4" s="4">
        <v>2700</v>
      </c>
      <c r="G4" s="4">
        <v>2025</v>
      </c>
      <c r="H4" s="4">
        <v>2025</v>
      </c>
      <c r="I4" s="4">
        <v>6750</v>
      </c>
      <c r="J4" s="4">
        <v>8126217610</v>
      </c>
      <c r="K4" t="s">
        <v>286</v>
      </c>
    </row>
    <row r="5" spans="1:11" x14ac:dyDescent="0.25">
      <c r="A5" s="5">
        <v>43327</v>
      </c>
      <c r="B5" s="4" t="s">
        <v>143</v>
      </c>
      <c r="C5" s="8">
        <v>43497</v>
      </c>
      <c r="D5" s="4"/>
      <c r="E5" s="4" t="s">
        <v>16</v>
      </c>
      <c r="F5" s="31">
        <v>4800</v>
      </c>
      <c r="G5" s="4">
        <v>3500</v>
      </c>
      <c r="H5" s="4">
        <v>3700</v>
      </c>
      <c r="I5" s="32">
        <v>12000</v>
      </c>
      <c r="J5" s="4">
        <v>8119107028</v>
      </c>
      <c r="K5" t="s">
        <v>294</v>
      </c>
    </row>
    <row r="6" spans="1:11" x14ac:dyDescent="0.25">
      <c r="A6" s="5">
        <v>43330</v>
      </c>
      <c r="B6" s="4" t="s">
        <v>144</v>
      </c>
      <c r="C6" s="8">
        <v>43421</v>
      </c>
      <c r="D6" s="4"/>
      <c r="E6" s="4" t="s">
        <v>72</v>
      </c>
      <c r="F6" s="31">
        <v>4450</v>
      </c>
      <c r="G6" s="4">
        <v>3800</v>
      </c>
      <c r="H6" s="4">
        <v>2850</v>
      </c>
      <c r="I6" s="32">
        <v>11100</v>
      </c>
      <c r="J6" s="4">
        <v>8112709177</v>
      </c>
      <c r="K6" t="s">
        <v>294</v>
      </c>
    </row>
    <row r="7" spans="1:11" x14ac:dyDescent="0.25">
      <c r="A7" s="5">
        <v>43337</v>
      </c>
      <c r="B7" s="4" t="s">
        <v>145</v>
      </c>
      <c r="C7" s="5">
        <v>43159</v>
      </c>
      <c r="D7" s="4"/>
      <c r="E7" s="4" t="s">
        <v>146</v>
      </c>
      <c r="F7" s="4">
        <v>3820</v>
      </c>
      <c r="G7" s="4">
        <v>2865</v>
      </c>
      <c r="H7" s="4">
        <v>2865</v>
      </c>
      <c r="I7" s="4">
        <v>9550</v>
      </c>
      <c r="J7" s="4">
        <v>8119081641</v>
      </c>
      <c r="K7" t="s">
        <v>294</v>
      </c>
    </row>
    <row r="8" spans="1:11" x14ac:dyDescent="0.25">
      <c r="A8" s="16"/>
      <c r="B8" s="30"/>
      <c r="C8" s="17"/>
      <c r="E8" s="30"/>
      <c r="F8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"/>
  <sheetViews>
    <sheetView workbookViewId="0"/>
  </sheetViews>
  <sheetFormatPr baseColWidth="10" defaultRowHeight="15" x14ac:dyDescent="0.25"/>
  <sheetData>
    <row r="1" spans="1:14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4</v>
      </c>
      <c r="N1" s="1"/>
    </row>
    <row r="2" spans="1:14" x14ac:dyDescent="0.25">
      <c r="A2" s="5">
        <v>43347</v>
      </c>
      <c r="B2" s="4" t="s">
        <v>151</v>
      </c>
      <c r="C2" s="4">
        <v>2019</v>
      </c>
      <c r="D2" s="4"/>
      <c r="E2" s="4" t="s">
        <v>152</v>
      </c>
      <c r="F2" s="4">
        <v>2000</v>
      </c>
      <c r="G2" s="4">
        <v>5750</v>
      </c>
      <c r="H2" s="4"/>
      <c r="I2" s="4"/>
      <c r="J2" s="4"/>
      <c r="K2" s="4"/>
      <c r="L2" s="4"/>
      <c r="M2" s="4">
        <v>7650</v>
      </c>
      <c r="N2" s="4" t="s">
        <v>4</v>
      </c>
    </row>
    <row r="3" spans="1:14" x14ac:dyDescent="0.25">
      <c r="A3" s="8">
        <v>43351</v>
      </c>
      <c r="B3" s="4" t="s">
        <v>153</v>
      </c>
      <c r="C3" s="8">
        <v>43582</v>
      </c>
      <c r="D3" s="4"/>
      <c r="E3" s="4" t="s">
        <v>154</v>
      </c>
      <c r="F3" s="4">
        <v>1000</v>
      </c>
      <c r="G3" s="4">
        <v>2780</v>
      </c>
      <c r="H3" s="4">
        <v>1500</v>
      </c>
      <c r="I3" s="4">
        <v>1300</v>
      </c>
      <c r="J3" s="4">
        <v>2970</v>
      </c>
      <c r="K3" s="4"/>
      <c r="L3" s="4"/>
      <c r="M3" s="4">
        <v>9450</v>
      </c>
      <c r="N3" s="4">
        <v>8112414070</v>
      </c>
    </row>
    <row r="4" spans="1:14" x14ac:dyDescent="0.25">
      <c r="A4" s="8">
        <v>43355</v>
      </c>
      <c r="B4" s="4" t="s">
        <v>239</v>
      </c>
      <c r="C4" s="8">
        <v>43554</v>
      </c>
      <c r="D4" s="4"/>
      <c r="E4" s="4" t="s">
        <v>154</v>
      </c>
      <c r="F4" s="4">
        <v>5100</v>
      </c>
      <c r="G4" s="4">
        <v>3795</v>
      </c>
      <c r="H4" s="4">
        <v>3755</v>
      </c>
      <c r="I4" s="4"/>
      <c r="J4" s="4"/>
      <c r="K4" s="4"/>
      <c r="L4" s="4"/>
      <c r="M4" s="4">
        <v>12650</v>
      </c>
      <c r="N4" s="4">
        <v>8120709067</v>
      </c>
    </row>
    <row r="5" spans="1:14" x14ac:dyDescent="0.25">
      <c r="A5" s="8">
        <v>43357</v>
      </c>
      <c r="B5" s="4" t="s">
        <v>155</v>
      </c>
      <c r="C5" s="6">
        <v>43435</v>
      </c>
      <c r="D5" s="4"/>
      <c r="E5" s="4" t="s">
        <v>156</v>
      </c>
      <c r="F5" s="4">
        <v>4000</v>
      </c>
      <c r="G5" s="4">
        <v>2650</v>
      </c>
      <c r="H5" s="4"/>
      <c r="I5" s="4"/>
      <c r="J5" s="4"/>
      <c r="K5" s="4"/>
      <c r="L5" s="4"/>
      <c r="M5" s="4" t="s">
        <v>162</v>
      </c>
      <c r="N5" s="4">
        <v>8124182391</v>
      </c>
    </row>
    <row r="6" spans="1:14" x14ac:dyDescent="0.25">
      <c r="A6" s="8">
        <v>43363</v>
      </c>
      <c r="B6" s="4" t="s">
        <v>157</v>
      </c>
      <c r="C6" s="8">
        <v>43659</v>
      </c>
      <c r="D6" s="4"/>
      <c r="E6" s="4" t="s">
        <v>158</v>
      </c>
      <c r="F6" s="4">
        <v>5100</v>
      </c>
      <c r="G6" s="4">
        <v>3850</v>
      </c>
      <c r="H6" s="4">
        <v>3800</v>
      </c>
      <c r="I6" s="4"/>
      <c r="J6" s="4"/>
      <c r="K6" s="4"/>
      <c r="L6" s="4"/>
      <c r="M6" s="4">
        <v>12750</v>
      </c>
      <c r="N6" s="4">
        <v>8115242624</v>
      </c>
    </row>
    <row r="7" spans="1:14" x14ac:dyDescent="0.25">
      <c r="A7" s="8">
        <v>43364</v>
      </c>
      <c r="B7" s="4" t="s">
        <v>168</v>
      </c>
      <c r="C7" s="6">
        <v>43891</v>
      </c>
      <c r="D7" s="4"/>
      <c r="E7" s="4" t="s">
        <v>631</v>
      </c>
      <c r="F7" s="4">
        <v>300</v>
      </c>
      <c r="G7" s="4">
        <v>1388</v>
      </c>
      <c r="H7" s="4">
        <v>1688</v>
      </c>
      <c r="I7" s="4">
        <v>1687</v>
      </c>
      <c r="J7" s="4">
        <v>1687</v>
      </c>
      <c r="K7" s="4">
        <v>1350</v>
      </c>
      <c r="L7" s="4">
        <v>300</v>
      </c>
      <c r="M7" s="4">
        <v>8850</v>
      </c>
      <c r="N7" s="4">
        <v>8116534319</v>
      </c>
    </row>
    <row r="8" spans="1:14" x14ac:dyDescent="0.25">
      <c r="A8" s="5">
        <v>43365</v>
      </c>
      <c r="B8" s="4" t="s">
        <v>159</v>
      </c>
      <c r="C8" s="8">
        <v>43532</v>
      </c>
      <c r="D8" s="4"/>
      <c r="E8" s="4" t="s">
        <v>142</v>
      </c>
      <c r="F8" s="4">
        <v>2700</v>
      </c>
      <c r="G8" s="4">
        <v>2100</v>
      </c>
      <c r="H8" s="4">
        <v>1950</v>
      </c>
      <c r="I8" s="4"/>
      <c r="J8" s="4"/>
      <c r="K8" s="4"/>
      <c r="L8" s="4"/>
      <c r="M8" s="4">
        <v>6750</v>
      </c>
      <c r="N8" s="4">
        <v>8110233068</v>
      </c>
    </row>
    <row r="9" spans="1:14" x14ac:dyDescent="0.25">
      <c r="A9" s="8">
        <v>43371</v>
      </c>
      <c r="B9" s="4" t="s">
        <v>160</v>
      </c>
      <c r="C9" s="5">
        <v>43434</v>
      </c>
      <c r="D9" s="4"/>
      <c r="E9" s="4" t="s">
        <v>142</v>
      </c>
      <c r="F9" s="4">
        <v>2700</v>
      </c>
      <c r="G9" s="4">
        <v>4050</v>
      </c>
      <c r="H9" s="4"/>
      <c r="I9" s="4"/>
      <c r="J9" s="4"/>
      <c r="K9" s="4"/>
      <c r="L9" s="4"/>
      <c r="M9" s="4">
        <v>6750</v>
      </c>
      <c r="N9" s="4">
        <v>8120650854</v>
      </c>
    </row>
    <row r="10" spans="1:14" x14ac:dyDescent="0.25">
      <c r="A10" s="8">
        <v>43372</v>
      </c>
      <c r="B10" s="4" t="s">
        <v>161</v>
      </c>
      <c r="C10" s="8">
        <v>43512</v>
      </c>
      <c r="D10" s="4"/>
      <c r="E10" s="4" t="s">
        <v>154</v>
      </c>
      <c r="F10" s="4">
        <v>600</v>
      </c>
      <c r="G10" s="4">
        <v>3180</v>
      </c>
      <c r="H10" s="4">
        <v>3500</v>
      </c>
      <c r="I10" s="4">
        <v>4830</v>
      </c>
      <c r="J10" s="4"/>
      <c r="K10" s="4"/>
      <c r="L10" s="4"/>
      <c r="M10" s="4">
        <v>12010</v>
      </c>
      <c r="N10" s="4">
        <v>8126505841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/>
  </sheetViews>
  <sheetFormatPr baseColWidth="10" defaultRowHeight="15" x14ac:dyDescent="0.25"/>
  <sheetData>
    <row r="1" spans="1:2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5">
        <v>43379</v>
      </c>
      <c r="B2" s="4" t="s">
        <v>163</v>
      </c>
      <c r="C2" s="8">
        <v>43464</v>
      </c>
      <c r="D2" s="4"/>
      <c r="E2" s="4" t="s">
        <v>167</v>
      </c>
      <c r="F2" s="4">
        <v>500</v>
      </c>
      <c r="G2" s="4">
        <v>2900</v>
      </c>
      <c r="H2" s="4">
        <v>4000</v>
      </c>
      <c r="I2" s="4">
        <v>1800</v>
      </c>
      <c r="J2" s="4"/>
      <c r="K2" s="4"/>
      <c r="L2" s="4"/>
      <c r="M2" s="4"/>
      <c r="N2" s="4"/>
      <c r="O2" s="4"/>
      <c r="P2" s="4"/>
      <c r="Q2" s="4"/>
      <c r="R2" s="4"/>
      <c r="S2" s="4">
        <v>8550</v>
      </c>
      <c r="T2" s="4"/>
    </row>
    <row r="3" spans="1:20" x14ac:dyDescent="0.25">
      <c r="A3" s="5">
        <v>43379</v>
      </c>
      <c r="B3" s="4" t="s">
        <v>164</v>
      </c>
      <c r="C3" s="4"/>
      <c r="D3" s="4"/>
      <c r="E3" s="4" t="s">
        <v>165</v>
      </c>
      <c r="F3" s="4">
        <v>3200</v>
      </c>
      <c r="G3" s="4"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>
        <v>6800</v>
      </c>
      <c r="T3" s="4"/>
    </row>
    <row r="4" spans="1:20" x14ac:dyDescent="0.25">
      <c r="A4" s="5">
        <v>43393</v>
      </c>
      <c r="B4" s="4" t="s">
        <v>864</v>
      </c>
      <c r="C4" s="8">
        <v>44099</v>
      </c>
      <c r="D4" s="4"/>
      <c r="E4" s="4" t="s">
        <v>925</v>
      </c>
      <c r="F4" s="4">
        <v>500</v>
      </c>
      <c r="G4" s="4">
        <v>500</v>
      </c>
      <c r="H4" s="4">
        <v>500</v>
      </c>
      <c r="I4" s="4">
        <v>500</v>
      </c>
      <c r="J4" s="4">
        <v>500</v>
      </c>
      <c r="K4" s="4">
        <v>500</v>
      </c>
      <c r="L4" s="4">
        <v>500</v>
      </c>
      <c r="M4" s="4">
        <v>1000</v>
      </c>
      <c r="N4" s="4">
        <v>7150</v>
      </c>
      <c r="O4" s="36">
        <v>1000</v>
      </c>
      <c r="P4" s="36">
        <v>1500</v>
      </c>
      <c r="Q4" s="36">
        <v>1550</v>
      </c>
      <c r="R4" s="36" t="s">
        <v>1549</v>
      </c>
      <c r="S4" s="4">
        <v>15700</v>
      </c>
      <c r="T4" s="4">
        <v>8119084142</v>
      </c>
    </row>
    <row r="5" spans="1:20" x14ac:dyDescent="0.25">
      <c r="A5" s="5">
        <v>43400</v>
      </c>
      <c r="B5" s="4" t="s">
        <v>57</v>
      </c>
      <c r="C5" s="4"/>
      <c r="D5" s="4"/>
      <c r="E5" s="4" t="s">
        <v>170</v>
      </c>
      <c r="F5" s="4">
        <v>1300</v>
      </c>
      <c r="G5" s="4">
        <v>1400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>
      <c r="A6" s="35">
        <v>43400</v>
      </c>
      <c r="B6" s="34" t="s">
        <v>171</v>
      </c>
      <c r="C6" s="36"/>
      <c r="D6" s="36"/>
      <c r="E6" s="34" t="s">
        <v>172</v>
      </c>
      <c r="F6" s="34">
        <v>3000</v>
      </c>
      <c r="G6" s="34">
        <v>1500</v>
      </c>
      <c r="H6" s="36">
        <v>3650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>
        <v>7500</v>
      </c>
      <c r="T6" s="36">
        <v>8181117097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workbookViewId="0"/>
  </sheetViews>
  <sheetFormatPr baseColWidth="10" defaultRowHeight="15" x14ac:dyDescent="0.25"/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3" x14ac:dyDescent="0.25">
      <c r="A2" s="5">
        <v>43407</v>
      </c>
      <c r="B2" s="4" t="s">
        <v>195</v>
      </c>
      <c r="C2" s="4"/>
      <c r="D2" s="4"/>
      <c r="E2" s="4" t="s">
        <v>173</v>
      </c>
      <c r="F2" s="4">
        <v>3000</v>
      </c>
      <c r="G2" s="4">
        <v>3000</v>
      </c>
      <c r="H2" s="4">
        <v>3100</v>
      </c>
      <c r="I2" s="4"/>
      <c r="J2" s="4"/>
      <c r="K2" s="4">
        <v>9100</v>
      </c>
      <c r="L2" s="4"/>
    </row>
    <row r="3" spans="1:13" x14ac:dyDescent="0.25">
      <c r="A3" s="5">
        <v>43412</v>
      </c>
      <c r="B3" s="4" t="s">
        <v>174</v>
      </c>
      <c r="C3" s="5">
        <v>43606</v>
      </c>
      <c r="D3" s="4"/>
      <c r="E3" s="4" t="s">
        <v>175</v>
      </c>
      <c r="F3" s="4">
        <v>2000</v>
      </c>
      <c r="G3" s="4">
        <v>1600</v>
      </c>
      <c r="H3" s="4">
        <v>2800</v>
      </c>
      <c r="I3" s="4">
        <v>4350</v>
      </c>
      <c r="J3" s="4"/>
      <c r="K3" s="4">
        <v>10650</v>
      </c>
      <c r="L3" s="4"/>
    </row>
    <row r="4" spans="1:13" x14ac:dyDescent="0.25">
      <c r="A4" s="5">
        <v>43414</v>
      </c>
      <c r="B4" s="4" t="s">
        <v>176</v>
      </c>
      <c r="C4" s="47">
        <v>43666</v>
      </c>
      <c r="D4" s="4"/>
      <c r="E4" s="4" t="s">
        <v>295</v>
      </c>
      <c r="F4" s="4">
        <v>3000</v>
      </c>
      <c r="G4" s="4" t="s">
        <v>233</v>
      </c>
      <c r="H4" s="4" t="s">
        <v>232</v>
      </c>
      <c r="I4" s="4">
        <v>1950</v>
      </c>
      <c r="J4" s="4">
        <v>900</v>
      </c>
      <c r="K4" s="4">
        <v>7650</v>
      </c>
      <c r="L4" s="4"/>
    </row>
    <row r="5" spans="1:13" x14ac:dyDescent="0.25">
      <c r="A5" s="33">
        <v>43414</v>
      </c>
      <c r="B5" s="10" t="s">
        <v>177</v>
      </c>
      <c r="C5" s="26">
        <v>43442</v>
      </c>
      <c r="D5" s="10"/>
      <c r="E5" s="10" t="s">
        <v>10</v>
      </c>
      <c r="F5" s="10">
        <v>500</v>
      </c>
      <c r="G5" s="10"/>
      <c r="H5" s="10"/>
      <c r="I5" s="10"/>
      <c r="J5" s="10"/>
      <c r="K5" s="10">
        <v>5000</v>
      </c>
      <c r="L5" s="10"/>
      <c r="M5" t="s">
        <v>185</v>
      </c>
    </row>
    <row r="6" spans="1:13" x14ac:dyDescent="0.25">
      <c r="A6" s="5">
        <v>43414</v>
      </c>
      <c r="B6" s="4" t="s">
        <v>178</v>
      </c>
      <c r="C6" s="8">
        <v>43534</v>
      </c>
      <c r="D6" s="4"/>
      <c r="E6" s="4" t="s">
        <v>154</v>
      </c>
      <c r="F6" s="4">
        <v>5000</v>
      </c>
      <c r="G6" s="4">
        <v>4000</v>
      </c>
      <c r="H6" s="4">
        <v>500</v>
      </c>
      <c r="I6" s="4">
        <v>2700</v>
      </c>
      <c r="J6" s="4"/>
      <c r="K6" s="4">
        <v>11450</v>
      </c>
      <c r="L6" s="4"/>
    </row>
    <row r="7" spans="1:13" x14ac:dyDescent="0.25">
      <c r="A7" s="5">
        <v>43416</v>
      </c>
      <c r="B7" s="4" t="s">
        <v>179</v>
      </c>
      <c r="C7" s="8">
        <v>43449</v>
      </c>
      <c r="D7" s="4"/>
      <c r="E7" s="4" t="s">
        <v>180</v>
      </c>
      <c r="F7" s="4">
        <v>2000</v>
      </c>
      <c r="G7" s="4">
        <v>1000</v>
      </c>
      <c r="H7" s="4"/>
      <c r="I7" s="4"/>
      <c r="J7" s="4"/>
      <c r="K7" s="4">
        <v>3000</v>
      </c>
      <c r="L7" s="4">
        <v>8117609506</v>
      </c>
    </row>
    <row r="8" spans="1:13" x14ac:dyDescent="0.25">
      <c r="A8" s="37">
        <v>43417</v>
      </c>
      <c r="B8" s="38" t="s">
        <v>181</v>
      </c>
      <c r="C8" s="38"/>
      <c r="D8" s="38"/>
      <c r="E8" s="38" t="s">
        <v>154</v>
      </c>
      <c r="F8" s="38">
        <v>500</v>
      </c>
      <c r="G8" s="38"/>
      <c r="H8" s="38"/>
      <c r="I8" s="38"/>
      <c r="J8" s="38"/>
      <c r="K8" s="38">
        <v>8400</v>
      </c>
      <c r="L8" s="38">
        <v>8267695552</v>
      </c>
      <c r="M8" t="s">
        <v>17</v>
      </c>
    </row>
    <row r="9" spans="1:13" x14ac:dyDescent="0.25">
      <c r="A9" s="5">
        <v>43422</v>
      </c>
      <c r="B9" s="4" t="s">
        <v>182</v>
      </c>
      <c r="C9" s="4" t="s">
        <v>183</v>
      </c>
      <c r="D9" s="4"/>
      <c r="E9" s="4" t="s">
        <v>184</v>
      </c>
      <c r="F9" s="4">
        <v>3144</v>
      </c>
      <c r="G9" s="4">
        <v>3144</v>
      </c>
      <c r="H9" s="4">
        <v>3200</v>
      </c>
      <c r="I9" s="4">
        <v>3150</v>
      </c>
      <c r="J9" s="4">
        <v>3100</v>
      </c>
      <c r="K9" s="4">
        <v>15720</v>
      </c>
      <c r="L9" s="4">
        <v>8180159430</v>
      </c>
      <c r="M9" t="s">
        <v>294</v>
      </c>
    </row>
    <row r="10" spans="1:13" x14ac:dyDescent="0.25">
      <c r="A10" s="5">
        <v>43426</v>
      </c>
      <c r="B10" s="4" t="s">
        <v>187</v>
      </c>
      <c r="C10" s="5">
        <v>43120</v>
      </c>
      <c r="D10" s="4"/>
      <c r="E10" s="4" t="s">
        <v>186</v>
      </c>
      <c r="F10" s="4">
        <v>1800</v>
      </c>
      <c r="G10" s="4">
        <v>3800</v>
      </c>
      <c r="H10" s="4"/>
      <c r="I10" s="4"/>
      <c r="J10" s="4"/>
      <c r="K10" s="4">
        <v>5600</v>
      </c>
      <c r="L10" s="4"/>
    </row>
    <row r="11" spans="1:13" x14ac:dyDescent="0.25">
      <c r="A11" s="5">
        <v>43426</v>
      </c>
      <c r="B11" s="4" t="s">
        <v>188</v>
      </c>
      <c r="C11" s="8">
        <v>43701</v>
      </c>
      <c r="D11" s="4"/>
      <c r="E11" s="4" t="s">
        <v>20</v>
      </c>
      <c r="F11" s="4">
        <v>2448</v>
      </c>
      <c r="G11" s="4">
        <v>1800</v>
      </c>
      <c r="H11" s="4">
        <v>1872</v>
      </c>
      <c r="I11" s="4"/>
      <c r="J11" s="4"/>
      <c r="K11" s="4">
        <v>6120</v>
      </c>
      <c r="L11" s="4">
        <v>8446987419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"/>
  <sheetViews>
    <sheetView workbookViewId="0"/>
  </sheetViews>
  <sheetFormatPr baseColWidth="10" defaultRowHeight="15" x14ac:dyDescent="0.25"/>
  <sheetData>
    <row r="1" spans="1:14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/>
      <c r="H1" s="1" t="s">
        <v>6</v>
      </c>
      <c r="I1" s="1" t="s">
        <v>7</v>
      </c>
      <c r="J1" s="1"/>
      <c r="K1" s="1"/>
      <c r="L1" s="1"/>
      <c r="M1" s="1"/>
    </row>
    <row r="2" spans="1:14" x14ac:dyDescent="0.25">
      <c r="A2" s="5">
        <v>43435</v>
      </c>
      <c r="B2" s="4" t="s">
        <v>189</v>
      </c>
      <c r="C2" s="5">
        <v>43196</v>
      </c>
      <c r="D2" s="4"/>
      <c r="E2" s="4" t="s">
        <v>190</v>
      </c>
      <c r="F2" s="4">
        <v>2500</v>
      </c>
      <c r="G2" s="4">
        <v>640</v>
      </c>
      <c r="H2" s="4">
        <v>1500</v>
      </c>
      <c r="I2" s="4">
        <v>1500</v>
      </c>
      <c r="J2" s="4">
        <v>500</v>
      </c>
      <c r="K2" s="4">
        <v>910</v>
      </c>
      <c r="L2" s="4">
        <v>7450</v>
      </c>
      <c r="M2" s="4">
        <v>8114208175</v>
      </c>
    </row>
    <row r="3" spans="1:14" x14ac:dyDescent="0.25">
      <c r="A3" s="5">
        <v>43442</v>
      </c>
      <c r="B3" s="4" t="s">
        <v>196</v>
      </c>
      <c r="C3" s="8">
        <v>43519</v>
      </c>
      <c r="D3" s="4"/>
      <c r="E3" s="4" t="s">
        <v>197</v>
      </c>
      <c r="F3" s="4">
        <v>2200</v>
      </c>
      <c r="G3" s="4"/>
      <c r="H3" s="4">
        <v>2500</v>
      </c>
      <c r="I3" s="4">
        <v>2150</v>
      </c>
      <c r="J3" s="4"/>
      <c r="K3" s="4"/>
      <c r="L3" s="4">
        <v>6850</v>
      </c>
      <c r="M3" s="4">
        <v>8261137481</v>
      </c>
    </row>
    <row r="4" spans="1:14" x14ac:dyDescent="0.25">
      <c r="A4" s="5">
        <v>43442</v>
      </c>
      <c r="B4" s="4" t="s">
        <v>198</v>
      </c>
      <c r="C4" s="8">
        <v>43617</v>
      </c>
      <c r="D4" s="4"/>
      <c r="E4" s="4" t="s">
        <v>199</v>
      </c>
      <c r="F4" s="4">
        <v>3420</v>
      </c>
      <c r="G4" s="4"/>
      <c r="H4" s="4">
        <v>2535</v>
      </c>
      <c r="I4" s="4">
        <v>2500</v>
      </c>
      <c r="J4" s="4">
        <v>1146</v>
      </c>
      <c r="K4" s="4"/>
      <c r="L4" s="4">
        <v>8550</v>
      </c>
      <c r="M4" s="4">
        <v>8118152476</v>
      </c>
    </row>
    <row r="5" spans="1:14" x14ac:dyDescent="0.25">
      <c r="A5" s="39">
        <v>43442</v>
      </c>
      <c r="B5" s="4" t="s">
        <v>200</v>
      </c>
      <c r="C5" s="8">
        <v>43519</v>
      </c>
      <c r="D5" s="4"/>
      <c r="E5" s="4" t="s">
        <v>110</v>
      </c>
      <c r="F5" s="4" t="s">
        <v>221</v>
      </c>
      <c r="G5" s="4"/>
      <c r="H5" s="4">
        <v>3050</v>
      </c>
      <c r="I5" s="4">
        <v>5020</v>
      </c>
      <c r="J5" s="4">
        <v>1860</v>
      </c>
      <c r="K5" s="4"/>
      <c r="L5" s="4">
        <v>8310</v>
      </c>
      <c r="M5" s="4">
        <v>8119769220</v>
      </c>
    </row>
    <row r="6" spans="1:14" x14ac:dyDescent="0.25">
      <c r="A6" s="5">
        <v>43443</v>
      </c>
      <c r="B6" s="4" t="s">
        <v>202</v>
      </c>
      <c r="C6" s="4"/>
      <c r="D6" s="4"/>
      <c r="E6" s="4" t="s">
        <v>201</v>
      </c>
      <c r="F6" s="4">
        <v>1500</v>
      </c>
      <c r="G6" s="4"/>
      <c r="H6" s="4">
        <v>3500</v>
      </c>
      <c r="I6" s="4"/>
      <c r="J6" s="4"/>
      <c r="K6" s="4"/>
      <c r="L6" s="4">
        <v>3000</v>
      </c>
      <c r="M6" s="4">
        <v>8114667551</v>
      </c>
    </row>
    <row r="7" spans="1:14" x14ac:dyDescent="0.25">
      <c r="A7" s="5">
        <v>43449</v>
      </c>
      <c r="B7" s="4" t="s">
        <v>203</v>
      </c>
      <c r="C7" s="5">
        <v>43252</v>
      </c>
      <c r="D7" s="4"/>
      <c r="E7" s="4" t="s">
        <v>199</v>
      </c>
      <c r="F7" s="4">
        <v>3000</v>
      </c>
      <c r="G7" s="4"/>
      <c r="H7" s="4">
        <v>3250</v>
      </c>
      <c r="I7" s="4">
        <v>3350</v>
      </c>
      <c r="J7" s="4"/>
      <c r="K7" s="4"/>
      <c r="L7" s="4">
        <v>9500</v>
      </c>
      <c r="M7" s="4">
        <v>8126077064</v>
      </c>
    </row>
    <row r="8" spans="1:14" x14ac:dyDescent="0.25">
      <c r="A8" s="33">
        <v>43452</v>
      </c>
      <c r="B8" s="10" t="s">
        <v>204</v>
      </c>
      <c r="C8" s="33">
        <v>43245</v>
      </c>
      <c r="D8" s="10"/>
      <c r="E8" s="10" t="s">
        <v>59</v>
      </c>
      <c r="F8" s="10">
        <v>2700</v>
      </c>
      <c r="G8" s="10"/>
      <c r="H8" s="10"/>
      <c r="I8" s="10"/>
      <c r="J8" s="10"/>
      <c r="K8" s="10"/>
      <c r="L8" s="10">
        <v>6750</v>
      </c>
      <c r="M8" s="10">
        <v>8123325270</v>
      </c>
      <c r="N8" t="s">
        <v>254</v>
      </c>
    </row>
    <row r="9" spans="1:14" x14ac:dyDescent="0.25">
      <c r="A9" s="5">
        <v>43453</v>
      </c>
      <c r="B9" s="4" t="s">
        <v>205</v>
      </c>
      <c r="C9" s="5">
        <v>43499</v>
      </c>
      <c r="D9" s="4"/>
      <c r="E9" s="4" t="s">
        <v>253</v>
      </c>
      <c r="F9" s="4">
        <v>1500</v>
      </c>
      <c r="G9" s="4"/>
      <c r="H9" s="4">
        <v>1500</v>
      </c>
      <c r="I9" s="4"/>
      <c r="J9" s="4"/>
      <c r="K9" s="4"/>
      <c r="L9" s="4">
        <v>3000</v>
      </c>
      <c r="M9" s="4"/>
    </row>
    <row r="10" spans="1:14" x14ac:dyDescent="0.25">
      <c r="A10" s="5">
        <v>43819</v>
      </c>
      <c r="B10" s="4" t="s">
        <v>207</v>
      </c>
      <c r="C10" s="5">
        <v>43505</v>
      </c>
      <c r="D10" s="4"/>
      <c r="E10" s="4" t="s">
        <v>252</v>
      </c>
      <c r="F10" s="4">
        <v>1500</v>
      </c>
      <c r="G10" s="4"/>
      <c r="H10" s="4">
        <v>1000</v>
      </c>
      <c r="I10" s="4">
        <v>3400</v>
      </c>
      <c r="J10" s="4"/>
      <c r="K10" s="4"/>
      <c r="L10" s="4"/>
      <c r="M10" s="4">
        <v>8115821571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9"/>
  <sheetViews>
    <sheetView workbookViewId="0"/>
  </sheetViews>
  <sheetFormatPr baseColWidth="10" defaultRowHeight="15" x14ac:dyDescent="0.25"/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206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3" x14ac:dyDescent="0.25">
      <c r="A2" s="5">
        <v>43467</v>
      </c>
      <c r="B2" s="4" t="s">
        <v>209</v>
      </c>
      <c r="C2" s="5">
        <v>43617</v>
      </c>
      <c r="D2" s="4"/>
      <c r="E2" s="4" t="s">
        <v>208</v>
      </c>
      <c r="F2" s="4">
        <v>4000</v>
      </c>
      <c r="G2" s="4">
        <v>3500</v>
      </c>
      <c r="H2" s="4">
        <v>3000</v>
      </c>
      <c r="I2" s="4"/>
      <c r="J2" s="4"/>
      <c r="K2" s="4">
        <v>10500</v>
      </c>
      <c r="L2" s="4"/>
      <c r="M2" t="s">
        <v>294</v>
      </c>
    </row>
    <row r="3" spans="1:13" x14ac:dyDescent="0.25">
      <c r="A3" s="33">
        <v>43470</v>
      </c>
      <c r="B3" s="10" t="s">
        <v>210</v>
      </c>
      <c r="C3" s="26">
        <v>43519</v>
      </c>
      <c r="D3" s="10"/>
      <c r="E3" s="10" t="s">
        <v>211</v>
      </c>
      <c r="F3" s="10">
        <v>1500</v>
      </c>
      <c r="G3" s="10"/>
      <c r="H3" s="10"/>
      <c r="I3" s="10"/>
      <c r="J3" s="10"/>
      <c r="K3" s="10">
        <v>3000</v>
      </c>
      <c r="L3" s="10">
        <v>8114900589</v>
      </c>
      <c r="M3" t="s">
        <v>254</v>
      </c>
    </row>
    <row r="4" spans="1:13" x14ac:dyDescent="0.25">
      <c r="A4" s="5">
        <v>43470</v>
      </c>
      <c r="B4" s="4" t="s">
        <v>212</v>
      </c>
      <c r="C4" s="8">
        <v>43554</v>
      </c>
      <c r="D4" s="4"/>
      <c r="E4" s="4" t="s">
        <v>72</v>
      </c>
      <c r="F4" s="4">
        <v>1000</v>
      </c>
      <c r="G4" s="4">
        <v>5000</v>
      </c>
      <c r="H4" s="4">
        <v>3750</v>
      </c>
      <c r="I4" s="4"/>
      <c r="J4" s="4"/>
      <c r="K4" s="4">
        <v>9450</v>
      </c>
      <c r="L4" s="4">
        <v>8120695238</v>
      </c>
      <c r="M4" t="s">
        <v>294</v>
      </c>
    </row>
    <row r="5" spans="1:13" x14ac:dyDescent="0.25">
      <c r="A5" s="39">
        <v>43475</v>
      </c>
      <c r="B5" s="4" t="s">
        <v>213</v>
      </c>
      <c r="C5" s="8">
        <v>43545</v>
      </c>
      <c r="D5" s="4"/>
      <c r="E5" s="4" t="s">
        <v>100</v>
      </c>
      <c r="F5" s="4">
        <v>3280</v>
      </c>
      <c r="G5" s="4">
        <v>5020</v>
      </c>
      <c r="H5" s="4"/>
      <c r="I5" s="4"/>
      <c r="J5" s="4"/>
      <c r="K5" s="4">
        <v>8200</v>
      </c>
      <c r="L5" s="4"/>
      <c r="M5" t="s">
        <v>294</v>
      </c>
    </row>
    <row r="6" spans="1:13" x14ac:dyDescent="0.25">
      <c r="A6" s="39">
        <v>43477</v>
      </c>
      <c r="B6" s="4" t="s">
        <v>227</v>
      </c>
      <c r="C6" s="8">
        <v>43527</v>
      </c>
      <c r="D6" s="4"/>
      <c r="E6" s="4" t="s">
        <v>208</v>
      </c>
      <c r="F6" s="27" t="s">
        <v>230</v>
      </c>
      <c r="G6" s="4">
        <v>3610</v>
      </c>
      <c r="H6" s="4"/>
      <c r="I6" s="4"/>
      <c r="J6" s="4"/>
      <c r="K6" s="4">
        <v>5850</v>
      </c>
      <c r="L6" s="4"/>
      <c r="M6" t="s">
        <v>294</v>
      </c>
    </row>
    <row r="7" spans="1:13" x14ac:dyDescent="0.25">
      <c r="A7" s="39">
        <v>43477</v>
      </c>
      <c r="B7" s="4" t="s">
        <v>228</v>
      </c>
      <c r="C7" s="8" t="s">
        <v>446</v>
      </c>
      <c r="D7" s="4"/>
      <c r="E7" s="4" t="s">
        <v>72</v>
      </c>
      <c r="F7" s="27" t="s">
        <v>231</v>
      </c>
      <c r="G7" s="4">
        <v>2835</v>
      </c>
      <c r="H7" s="4">
        <v>100</v>
      </c>
      <c r="I7" s="4">
        <v>2835</v>
      </c>
      <c r="J7" s="4"/>
      <c r="K7" s="4">
        <v>9450</v>
      </c>
      <c r="L7" s="4">
        <v>8441843253</v>
      </c>
      <c r="M7" s="36"/>
    </row>
    <row r="8" spans="1:13" x14ac:dyDescent="0.25">
      <c r="A8" s="5">
        <v>43477</v>
      </c>
      <c r="B8" s="4" t="s">
        <v>214</v>
      </c>
      <c r="C8" s="5">
        <v>43527</v>
      </c>
      <c r="D8" s="4"/>
      <c r="E8" s="4" t="s">
        <v>215</v>
      </c>
      <c r="F8" s="4">
        <v>1500</v>
      </c>
      <c r="G8" s="4">
        <v>1500</v>
      </c>
      <c r="H8" s="4"/>
      <c r="I8" s="4"/>
      <c r="J8" s="4"/>
      <c r="K8" s="4">
        <v>3000</v>
      </c>
      <c r="L8" s="4">
        <v>8120515068</v>
      </c>
      <c r="M8" t="s">
        <v>294</v>
      </c>
    </row>
    <row r="9" spans="1:13" x14ac:dyDescent="0.25">
      <c r="A9" s="5">
        <v>43477</v>
      </c>
      <c r="B9" s="4" t="s">
        <v>216</v>
      </c>
      <c r="C9" s="5">
        <v>43786</v>
      </c>
      <c r="D9" s="4"/>
      <c r="E9" s="4" t="s">
        <v>217</v>
      </c>
      <c r="F9" s="4" t="s">
        <v>218</v>
      </c>
      <c r="G9" s="4">
        <v>5000</v>
      </c>
      <c r="H9" s="4">
        <v>4020</v>
      </c>
      <c r="I9" s="4">
        <v>500</v>
      </c>
      <c r="J9" s="4"/>
      <c r="K9" s="4">
        <v>1020</v>
      </c>
      <c r="L9" s="4">
        <v>8110730433</v>
      </c>
    </row>
    <row r="10" spans="1:13" x14ac:dyDescent="0.25">
      <c r="A10" s="5">
        <v>43479</v>
      </c>
      <c r="B10" s="4" t="s">
        <v>219</v>
      </c>
      <c r="C10" s="5">
        <v>43532</v>
      </c>
      <c r="D10" s="4"/>
      <c r="E10" s="4" t="s">
        <v>59</v>
      </c>
      <c r="F10" s="4">
        <v>3190</v>
      </c>
      <c r="G10" s="4">
        <v>2250</v>
      </c>
      <c r="H10" s="4">
        <v>2250</v>
      </c>
      <c r="I10" s="4"/>
      <c r="J10" s="4"/>
      <c r="K10" s="4">
        <v>7690</v>
      </c>
      <c r="L10" s="4">
        <v>8110046805</v>
      </c>
      <c r="M10" t="s">
        <v>294</v>
      </c>
    </row>
    <row r="11" spans="1:13" ht="30" x14ac:dyDescent="0.25">
      <c r="A11" s="5">
        <v>15</v>
      </c>
      <c r="B11" s="4" t="s">
        <v>220</v>
      </c>
      <c r="C11" s="5">
        <v>43520</v>
      </c>
      <c r="D11" s="4"/>
      <c r="E11" s="40" t="s">
        <v>238</v>
      </c>
      <c r="F11" s="4">
        <v>4000</v>
      </c>
      <c r="G11" s="4">
        <v>5670</v>
      </c>
      <c r="H11" s="4"/>
      <c r="I11" s="4"/>
      <c r="J11" s="4"/>
      <c r="K11" s="4">
        <v>9570</v>
      </c>
      <c r="L11" s="4"/>
      <c r="M11" t="s">
        <v>294</v>
      </c>
    </row>
    <row r="12" spans="1:13" x14ac:dyDescent="0.25">
      <c r="A12" s="5">
        <v>43484</v>
      </c>
      <c r="B12" s="4" t="s">
        <v>222</v>
      </c>
      <c r="C12" s="5">
        <v>43716</v>
      </c>
      <c r="D12" s="4"/>
      <c r="E12" s="4" t="s">
        <v>223</v>
      </c>
      <c r="F12" s="4">
        <v>3000</v>
      </c>
      <c r="G12" s="4">
        <v>600</v>
      </c>
      <c r="H12" s="4">
        <v>3000</v>
      </c>
      <c r="I12" s="4">
        <v>3000</v>
      </c>
      <c r="J12" s="4"/>
      <c r="K12" s="4">
        <v>9000</v>
      </c>
      <c r="L12" s="4">
        <v>8186810597</v>
      </c>
    </row>
    <row r="13" spans="1:13" ht="60" x14ac:dyDescent="0.25">
      <c r="A13" s="5">
        <v>43484</v>
      </c>
      <c r="B13" s="4" t="s">
        <v>224</v>
      </c>
      <c r="C13" s="5">
        <v>43716</v>
      </c>
      <c r="D13" s="4"/>
      <c r="E13" s="40" t="s">
        <v>397</v>
      </c>
      <c r="F13" s="4">
        <v>760</v>
      </c>
      <c r="G13" s="4">
        <v>500</v>
      </c>
      <c r="H13" s="4">
        <v>600</v>
      </c>
      <c r="I13" s="4">
        <v>700</v>
      </c>
      <c r="J13" s="4">
        <v>140</v>
      </c>
      <c r="K13" s="4">
        <v>2700</v>
      </c>
      <c r="L13" s="4">
        <v>8186810597</v>
      </c>
    </row>
    <row r="14" spans="1:13" ht="30" x14ac:dyDescent="0.25">
      <c r="A14" s="5">
        <v>43486</v>
      </c>
      <c r="B14" s="4" t="s">
        <v>225</v>
      </c>
      <c r="C14" s="5">
        <v>43610</v>
      </c>
      <c r="D14" s="4"/>
      <c r="E14" s="40" t="s">
        <v>226</v>
      </c>
      <c r="F14" s="4">
        <v>1600</v>
      </c>
      <c r="G14" s="4">
        <v>1700</v>
      </c>
      <c r="H14" s="4">
        <v>1800</v>
      </c>
      <c r="I14" s="4"/>
      <c r="J14" s="4"/>
      <c r="K14" s="4">
        <v>5000</v>
      </c>
      <c r="L14" s="4">
        <v>8115350166</v>
      </c>
      <c r="M14" t="s">
        <v>294</v>
      </c>
    </row>
    <row r="15" spans="1:13" x14ac:dyDescent="0.25">
      <c r="A15" s="5">
        <v>43491</v>
      </c>
      <c r="B15" s="4" t="s">
        <v>234</v>
      </c>
      <c r="C15" s="5">
        <v>43736</v>
      </c>
      <c r="D15" s="4"/>
      <c r="E15" s="4" t="s">
        <v>223</v>
      </c>
      <c r="F15" s="4">
        <v>4000</v>
      </c>
      <c r="G15" s="4">
        <v>3000</v>
      </c>
      <c r="H15" s="4">
        <v>3000</v>
      </c>
      <c r="I15" s="4"/>
      <c r="J15" s="4"/>
      <c r="K15" s="4">
        <v>10000</v>
      </c>
      <c r="L15" s="4">
        <v>8114652165</v>
      </c>
      <c r="M15" t="s">
        <v>294</v>
      </c>
    </row>
    <row r="16" spans="1:13" x14ac:dyDescent="0.25">
      <c r="A16" s="5">
        <v>43491</v>
      </c>
      <c r="B16" s="4" t="s">
        <v>235</v>
      </c>
      <c r="C16" s="5">
        <v>43708</v>
      </c>
      <c r="D16" s="4"/>
      <c r="E16" s="4" t="s">
        <v>199</v>
      </c>
      <c r="F16" s="4">
        <v>1500</v>
      </c>
      <c r="G16" s="4">
        <v>7000</v>
      </c>
      <c r="H16" s="4">
        <v>4500</v>
      </c>
      <c r="I16" s="4"/>
      <c r="J16" s="4"/>
      <c r="K16" s="4">
        <v>13000</v>
      </c>
      <c r="L16" s="4">
        <v>8116360841</v>
      </c>
      <c r="M16" t="s">
        <v>294</v>
      </c>
    </row>
    <row r="17" spans="1:12" x14ac:dyDescent="0.25">
      <c r="A17" s="5">
        <v>43491</v>
      </c>
      <c r="B17" s="4" t="s">
        <v>236</v>
      </c>
      <c r="C17" s="5">
        <v>43778</v>
      </c>
      <c r="D17" s="4"/>
      <c r="E17" s="4" t="s">
        <v>250</v>
      </c>
      <c r="F17" s="4">
        <v>4000</v>
      </c>
      <c r="G17" s="4">
        <v>3000</v>
      </c>
      <c r="H17" s="4">
        <v>3000</v>
      </c>
      <c r="I17" s="4"/>
      <c r="J17" s="4"/>
      <c r="K17" s="4">
        <v>10000</v>
      </c>
      <c r="L17" s="4">
        <v>8180163270</v>
      </c>
    </row>
    <row r="18" spans="1:12" x14ac:dyDescent="0.25">
      <c r="A18" s="16"/>
      <c r="B18" s="30"/>
    </row>
    <row r="19" spans="1:12" x14ac:dyDescent="0.25">
      <c r="C19" t="s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"/>
  <sheetViews>
    <sheetView workbookViewId="0"/>
  </sheetViews>
  <sheetFormatPr baseColWidth="10" defaultRowHeight="15" x14ac:dyDescent="0.25"/>
  <sheetData>
    <row r="1" spans="1:12" x14ac:dyDescent="0.25">
      <c r="A1" s="1" t="s">
        <v>9</v>
      </c>
      <c r="B1" s="1" t="s">
        <v>0</v>
      </c>
      <c r="C1" s="1" t="s">
        <v>1</v>
      </c>
      <c r="D1" s="1" t="s">
        <v>206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2" x14ac:dyDescent="0.25">
      <c r="A2" s="5">
        <v>43512</v>
      </c>
      <c r="B2" s="4" t="s">
        <v>256</v>
      </c>
      <c r="C2" s="8">
        <v>43665</v>
      </c>
      <c r="D2" s="4"/>
      <c r="E2" s="4" t="s">
        <v>318</v>
      </c>
      <c r="F2" s="4">
        <v>2000</v>
      </c>
      <c r="G2" s="4">
        <v>1600</v>
      </c>
      <c r="H2" s="4">
        <v>5970</v>
      </c>
      <c r="I2" s="4"/>
      <c r="J2" s="4">
        <v>9000</v>
      </c>
      <c r="K2" s="4">
        <v>8110160282</v>
      </c>
      <c r="L2" t="s">
        <v>294</v>
      </c>
    </row>
    <row r="3" spans="1:12" ht="60" x14ac:dyDescent="0.25">
      <c r="A3" s="5">
        <v>43512</v>
      </c>
      <c r="B3" s="4" t="s">
        <v>257</v>
      </c>
      <c r="C3" s="6">
        <v>43922</v>
      </c>
      <c r="D3" s="4"/>
      <c r="E3" s="40" t="s">
        <v>362</v>
      </c>
      <c r="F3" s="4">
        <v>5000</v>
      </c>
      <c r="G3" s="4">
        <v>240</v>
      </c>
      <c r="H3" s="4">
        <v>1000</v>
      </c>
      <c r="I3" s="4"/>
      <c r="J3" s="4">
        <v>7750</v>
      </c>
      <c r="K3" s="4">
        <v>8126169021</v>
      </c>
      <c r="L3" t="s">
        <v>294</v>
      </c>
    </row>
    <row r="4" spans="1:12" x14ac:dyDescent="0.25">
      <c r="A4" s="5">
        <v>43519</v>
      </c>
      <c r="B4" s="4" t="s">
        <v>258</v>
      </c>
      <c r="C4" s="5">
        <v>43643</v>
      </c>
      <c r="D4" s="4"/>
      <c r="E4" s="4" t="s">
        <v>327</v>
      </c>
      <c r="F4" s="4">
        <v>1872</v>
      </c>
      <c r="G4" s="4">
        <v>1400</v>
      </c>
      <c r="H4" s="4">
        <v>1508</v>
      </c>
      <c r="I4" s="4"/>
      <c r="J4" s="4">
        <v>4680</v>
      </c>
      <c r="K4" s="4">
        <v>8112379516</v>
      </c>
      <c r="L4" t="s">
        <v>294</v>
      </c>
    </row>
    <row r="5" spans="1:12" x14ac:dyDescent="0.25">
      <c r="A5" s="5">
        <v>43521</v>
      </c>
      <c r="B5" s="4" t="s">
        <v>344</v>
      </c>
      <c r="C5" s="5">
        <v>43700</v>
      </c>
      <c r="D5" s="4"/>
      <c r="E5" s="4" t="s">
        <v>259</v>
      </c>
      <c r="F5" s="4">
        <v>1000</v>
      </c>
      <c r="G5" s="4">
        <v>2960</v>
      </c>
      <c r="H5" s="4">
        <v>2790</v>
      </c>
      <c r="I5" s="4">
        <v>3250</v>
      </c>
      <c r="J5" s="4">
        <v>9900</v>
      </c>
      <c r="K5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"/>
  <sheetViews>
    <sheetView workbookViewId="0"/>
  </sheetViews>
  <sheetFormatPr baseColWidth="10" defaultRowHeight="15" x14ac:dyDescent="0.25"/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206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270</v>
      </c>
      <c r="J1" s="1" t="s">
        <v>271</v>
      </c>
    </row>
    <row r="2" spans="1:11" x14ac:dyDescent="0.25">
      <c r="A2" s="5">
        <v>43525</v>
      </c>
      <c r="B2" s="4" t="s">
        <v>260</v>
      </c>
      <c r="C2" s="5">
        <v>43554</v>
      </c>
      <c r="D2" s="4"/>
      <c r="E2" s="4" t="s">
        <v>186</v>
      </c>
      <c r="F2" s="4">
        <v>700</v>
      </c>
      <c r="G2" s="4">
        <v>2000</v>
      </c>
      <c r="H2" s="4">
        <v>3300</v>
      </c>
      <c r="I2" s="4">
        <v>3600</v>
      </c>
      <c r="J2" s="4">
        <v>8111767965</v>
      </c>
      <c r="K2" t="s">
        <v>294</v>
      </c>
    </row>
    <row r="3" spans="1:11" x14ac:dyDescent="0.25">
      <c r="A3" s="5">
        <v>43529</v>
      </c>
      <c r="B3" s="4" t="s">
        <v>261</v>
      </c>
      <c r="C3" s="5">
        <v>43581</v>
      </c>
      <c r="D3" s="4"/>
      <c r="E3" s="4" t="s">
        <v>262</v>
      </c>
      <c r="F3" s="4">
        <v>2000</v>
      </c>
      <c r="G3" s="4">
        <v>4000</v>
      </c>
      <c r="H3" s="4"/>
      <c r="I3" s="4">
        <v>4000</v>
      </c>
      <c r="J3" s="4"/>
      <c r="K3" t="s">
        <v>294</v>
      </c>
    </row>
    <row r="4" spans="1:11" x14ac:dyDescent="0.25">
      <c r="A4" s="5">
        <v>43533</v>
      </c>
      <c r="B4" s="4" t="s">
        <v>263</v>
      </c>
      <c r="C4" s="5">
        <v>43610</v>
      </c>
      <c r="D4" s="4"/>
      <c r="E4" s="4" t="s">
        <v>262</v>
      </c>
      <c r="F4" s="4">
        <v>2000</v>
      </c>
      <c r="G4" s="4">
        <v>4000</v>
      </c>
      <c r="H4" s="4"/>
      <c r="I4" s="4">
        <v>4000</v>
      </c>
      <c r="J4" s="4"/>
    </row>
    <row r="5" spans="1:11" x14ac:dyDescent="0.25">
      <c r="A5" s="5">
        <v>43545</v>
      </c>
      <c r="B5" s="4" t="s">
        <v>264</v>
      </c>
      <c r="C5" s="5">
        <v>43778</v>
      </c>
      <c r="D5" s="4"/>
      <c r="E5" s="4" t="s">
        <v>265</v>
      </c>
      <c r="F5" s="4">
        <v>1260</v>
      </c>
      <c r="G5" s="4">
        <v>945</v>
      </c>
      <c r="H5" s="4">
        <v>945</v>
      </c>
      <c r="I5" s="4">
        <v>3150</v>
      </c>
      <c r="J5" s="4">
        <v>8181111034</v>
      </c>
    </row>
    <row r="6" spans="1:11" x14ac:dyDescent="0.25">
      <c r="A6" s="5">
        <v>43547</v>
      </c>
      <c r="B6" s="4" t="s">
        <v>266</v>
      </c>
      <c r="C6" s="5">
        <v>43645</v>
      </c>
      <c r="D6" s="4"/>
      <c r="E6" s="4" t="s">
        <v>262</v>
      </c>
      <c r="F6" s="4">
        <v>2000</v>
      </c>
      <c r="G6" s="4">
        <v>2000</v>
      </c>
      <c r="H6" s="4">
        <v>2000</v>
      </c>
      <c r="I6" s="4">
        <v>6000</v>
      </c>
      <c r="J6" s="4">
        <v>8241052701</v>
      </c>
    </row>
    <row r="7" spans="1:11" x14ac:dyDescent="0.25">
      <c r="A7" s="5">
        <v>43552</v>
      </c>
      <c r="B7" s="4" t="s">
        <v>267</v>
      </c>
      <c r="C7" s="5">
        <v>43687</v>
      </c>
      <c r="D7" s="4"/>
      <c r="E7" s="40" t="s">
        <v>265</v>
      </c>
      <c r="F7" s="4">
        <v>1960</v>
      </c>
      <c r="G7" s="4">
        <v>2000</v>
      </c>
      <c r="H7" s="4">
        <v>1040</v>
      </c>
      <c r="I7" s="4">
        <v>4900</v>
      </c>
      <c r="J7" s="4">
        <v>8112744996</v>
      </c>
      <c r="K7" t="s">
        <v>294</v>
      </c>
    </row>
    <row r="8" spans="1:11" ht="75" x14ac:dyDescent="0.25">
      <c r="A8" s="5">
        <v>43552</v>
      </c>
      <c r="B8" s="4" t="s">
        <v>268</v>
      </c>
      <c r="C8" s="5">
        <v>43589</v>
      </c>
      <c r="D8" s="5"/>
      <c r="E8" s="40" t="s">
        <v>269</v>
      </c>
      <c r="F8" s="4">
        <v>1968</v>
      </c>
      <c r="G8" s="4">
        <v>3050</v>
      </c>
      <c r="H8" s="4"/>
      <c r="I8" s="4">
        <v>4920</v>
      </c>
      <c r="J8" s="4">
        <v>8123818899</v>
      </c>
      <c r="K8" t="s">
        <v>294</v>
      </c>
    </row>
    <row r="9" spans="1:11" x14ac:dyDescent="0.25">
      <c r="A9" s="4" t="s">
        <v>272</v>
      </c>
      <c r="B9" s="4" t="s">
        <v>273</v>
      </c>
      <c r="C9" s="5">
        <v>43784</v>
      </c>
      <c r="D9" s="4"/>
      <c r="E9" s="4" t="s">
        <v>274</v>
      </c>
      <c r="F9" s="4">
        <v>3600</v>
      </c>
      <c r="G9" s="4">
        <v>2000</v>
      </c>
      <c r="H9" s="4"/>
      <c r="I9" s="4">
        <v>9000</v>
      </c>
      <c r="J9" s="4">
        <v>8125131355</v>
      </c>
    </row>
    <row r="10" spans="1:11" x14ac:dyDescent="0.25">
      <c r="A10" s="8">
        <v>43638</v>
      </c>
      <c r="B10" s="4" t="s">
        <v>375</v>
      </c>
      <c r="C10" s="8">
        <v>43819</v>
      </c>
      <c r="D10" s="4"/>
      <c r="E10" s="4" t="s">
        <v>376</v>
      </c>
      <c r="F10" s="4">
        <v>2880</v>
      </c>
      <c r="G10" s="4">
        <v>3500</v>
      </c>
      <c r="H10" s="4">
        <v>820</v>
      </c>
      <c r="I10" s="4">
        <v>7200</v>
      </c>
      <c r="J1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topLeftCell="A10" workbookViewId="0"/>
  </sheetViews>
  <sheetFormatPr baseColWidth="10" defaultRowHeight="15" x14ac:dyDescent="0.25"/>
  <sheetData>
    <row r="1" spans="1:12" x14ac:dyDescent="0.25">
      <c r="A1" s="1" t="s">
        <v>9</v>
      </c>
      <c r="B1" s="1" t="s">
        <v>0</v>
      </c>
      <c r="C1" s="1" t="s">
        <v>1</v>
      </c>
      <c r="D1" s="1" t="s">
        <v>206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 t="s">
        <v>270</v>
      </c>
      <c r="K1" s="1" t="s">
        <v>271</v>
      </c>
    </row>
    <row r="2" spans="1:12" ht="30" x14ac:dyDescent="0.25">
      <c r="A2" s="8">
        <v>43564</v>
      </c>
      <c r="B2" s="4" t="s">
        <v>275</v>
      </c>
      <c r="C2" s="8">
        <v>43630</v>
      </c>
      <c r="D2" s="4"/>
      <c r="E2" s="40" t="s">
        <v>317</v>
      </c>
      <c r="F2" s="4">
        <v>3000</v>
      </c>
      <c r="G2" s="4">
        <v>1400</v>
      </c>
      <c r="H2" s="4">
        <v>3500</v>
      </c>
      <c r="I2" s="4">
        <v>750</v>
      </c>
      <c r="J2" s="4">
        <v>8620</v>
      </c>
      <c r="K2" s="4"/>
      <c r="L2" t="s">
        <v>294</v>
      </c>
    </row>
    <row r="3" spans="1:12" x14ac:dyDescent="0.25">
      <c r="A3" s="5">
        <v>43570</v>
      </c>
      <c r="B3" s="4" t="s">
        <v>276</v>
      </c>
      <c r="C3" s="4" t="s">
        <v>277</v>
      </c>
      <c r="D3" s="4"/>
      <c r="E3" s="4" t="s">
        <v>223</v>
      </c>
      <c r="F3" s="4">
        <v>4000</v>
      </c>
      <c r="G3" s="4">
        <v>3500</v>
      </c>
      <c r="H3" s="4">
        <v>3000</v>
      </c>
      <c r="I3" s="4"/>
      <c r="J3" s="4">
        <v>10400</v>
      </c>
      <c r="K3" s="4"/>
    </row>
    <row r="4" spans="1:12" x14ac:dyDescent="0.25">
      <c r="A4" s="5">
        <v>43571</v>
      </c>
      <c r="B4" s="4" t="s">
        <v>278</v>
      </c>
      <c r="C4" s="5">
        <v>43610</v>
      </c>
      <c r="D4" s="4"/>
      <c r="E4" s="4" t="s">
        <v>279</v>
      </c>
      <c r="F4" s="4">
        <v>1590</v>
      </c>
      <c r="G4" s="4">
        <v>2500</v>
      </c>
      <c r="H4" s="4">
        <v>1230</v>
      </c>
      <c r="I4" s="4"/>
      <c r="J4" s="4">
        <v>5320</v>
      </c>
      <c r="K4" s="4">
        <v>8110481832</v>
      </c>
      <c r="L4" t="s">
        <v>294</v>
      </c>
    </row>
    <row r="5" spans="1:12" x14ac:dyDescent="0.25">
      <c r="A5" s="5">
        <v>43573</v>
      </c>
      <c r="B5" s="4" t="s">
        <v>337</v>
      </c>
      <c r="C5" s="5">
        <v>43623</v>
      </c>
      <c r="D5" s="4"/>
      <c r="E5" s="4" t="s">
        <v>280</v>
      </c>
      <c r="F5" s="4">
        <v>2000</v>
      </c>
      <c r="G5" s="4">
        <v>2000</v>
      </c>
      <c r="H5" s="4">
        <v>1700</v>
      </c>
      <c r="I5" s="4"/>
      <c r="J5" s="4">
        <v>3600</v>
      </c>
      <c r="K5" s="4">
        <v>8115758568</v>
      </c>
      <c r="L5" t="s">
        <v>294</v>
      </c>
    </row>
    <row r="6" spans="1:12" ht="45" x14ac:dyDescent="0.25">
      <c r="A6" s="5">
        <v>43573</v>
      </c>
      <c r="B6" s="4" t="s">
        <v>283</v>
      </c>
      <c r="C6" s="5">
        <v>43603</v>
      </c>
      <c r="D6" s="4"/>
      <c r="E6" s="40" t="s">
        <v>281</v>
      </c>
      <c r="F6" s="4">
        <v>3308</v>
      </c>
      <c r="G6" s="4">
        <v>3000</v>
      </c>
      <c r="H6" s="4">
        <v>2062</v>
      </c>
      <c r="I6" s="4"/>
      <c r="J6" s="4">
        <v>8270</v>
      </c>
      <c r="K6" s="4">
        <v>8117153484</v>
      </c>
    </row>
    <row r="7" spans="1:12" x14ac:dyDescent="0.25">
      <c r="A7" s="5">
        <v>43575</v>
      </c>
      <c r="B7" s="4" t="s">
        <v>282</v>
      </c>
      <c r="C7" s="5">
        <v>43708</v>
      </c>
      <c r="D7" s="4"/>
      <c r="E7" s="4" t="s">
        <v>96</v>
      </c>
      <c r="F7" s="4">
        <v>1500</v>
      </c>
      <c r="G7" s="4">
        <v>3500</v>
      </c>
      <c r="H7" s="4"/>
      <c r="I7" s="4"/>
      <c r="J7" s="4">
        <v>3000</v>
      </c>
      <c r="K7" s="4">
        <v>8118968787</v>
      </c>
    </row>
    <row r="8" spans="1:12" ht="45" x14ac:dyDescent="0.25">
      <c r="A8" s="8">
        <v>43575</v>
      </c>
      <c r="B8" s="4" t="s">
        <v>287</v>
      </c>
      <c r="C8" s="8">
        <v>43757</v>
      </c>
      <c r="D8" s="4"/>
      <c r="E8" s="40" t="s">
        <v>288</v>
      </c>
      <c r="F8" s="4">
        <v>1000</v>
      </c>
      <c r="G8" s="4">
        <v>1140</v>
      </c>
      <c r="H8" s="4">
        <v>1600</v>
      </c>
      <c r="I8" s="4">
        <v>1710</v>
      </c>
      <c r="J8" s="4">
        <v>5350</v>
      </c>
      <c r="K8" s="4">
        <v>8123248131</v>
      </c>
    </row>
    <row r="9" spans="1:12" x14ac:dyDescent="0.25">
      <c r="A9" s="8">
        <v>43577</v>
      </c>
      <c r="B9" s="4" t="s">
        <v>289</v>
      </c>
      <c r="C9" s="8">
        <v>43707</v>
      </c>
      <c r="D9" s="4"/>
      <c r="E9" s="4" t="s">
        <v>321</v>
      </c>
      <c r="F9" s="4">
        <v>1000</v>
      </c>
      <c r="G9" s="4">
        <v>5100</v>
      </c>
      <c r="H9" s="4"/>
      <c r="I9" s="4"/>
      <c r="J9" s="4">
        <v>6100</v>
      </c>
      <c r="K9" s="4">
        <v>8115885185</v>
      </c>
    </row>
    <row r="10" spans="1:12" x14ac:dyDescent="0.25">
      <c r="A10" s="8">
        <v>43579</v>
      </c>
      <c r="B10" s="4" t="s">
        <v>290</v>
      </c>
      <c r="C10" s="8">
        <v>43742</v>
      </c>
      <c r="D10" s="4"/>
      <c r="E10" s="4" t="s">
        <v>439</v>
      </c>
      <c r="F10" s="4" t="s">
        <v>291</v>
      </c>
      <c r="G10" s="4">
        <v>2400</v>
      </c>
      <c r="H10" s="4">
        <v>2400</v>
      </c>
      <c r="I10" s="4">
        <v>2650</v>
      </c>
      <c r="J10" s="4">
        <v>8000</v>
      </c>
      <c r="K10" s="4">
        <v>8329703741</v>
      </c>
    </row>
    <row r="11" spans="1:12" ht="45" x14ac:dyDescent="0.25">
      <c r="A11" s="5">
        <v>43580</v>
      </c>
      <c r="B11" s="4" t="s">
        <v>292</v>
      </c>
      <c r="C11" s="8">
        <v>44036</v>
      </c>
      <c r="D11" s="4"/>
      <c r="E11" s="40" t="s">
        <v>293</v>
      </c>
      <c r="F11" s="4">
        <v>3000</v>
      </c>
      <c r="G11" s="4">
        <v>2600</v>
      </c>
      <c r="H11" s="4">
        <v>2800</v>
      </c>
      <c r="I11" s="4">
        <v>2800</v>
      </c>
      <c r="J11" s="4">
        <v>11200</v>
      </c>
      <c r="K11" s="4">
        <v>8180889763</v>
      </c>
    </row>
    <row r="12" spans="1:12" x14ac:dyDescent="0.25">
      <c r="A12" s="8">
        <v>43581</v>
      </c>
      <c r="B12" s="4" t="s">
        <v>296</v>
      </c>
      <c r="C12" s="8">
        <v>43693</v>
      </c>
      <c r="D12" s="4"/>
      <c r="E12" s="4" t="s">
        <v>363</v>
      </c>
      <c r="F12" s="4">
        <v>1000</v>
      </c>
      <c r="G12" s="4">
        <v>3600</v>
      </c>
      <c r="H12" s="4"/>
      <c r="I12" s="4"/>
      <c r="J12" s="4">
        <v>2600</v>
      </c>
      <c r="K12" s="4">
        <v>8123980635</v>
      </c>
    </row>
    <row r="13" spans="1:12" x14ac:dyDescent="0.25">
      <c r="A13" s="5">
        <v>43582</v>
      </c>
      <c r="B13" s="4" t="s">
        <v>338</v>
      </c>
      <c r="C13" s="5">
        <v>43679</v>
      </c>
      <c r="D13" s="4"/>
      <c r="E13" s="4" t="s">
        <v>416</v>
      </c>
      <c r="F13" s="4">
        <v>5500</v>
      </c>
      <c r="G13" s="4">
        <v>4200</v>
      </c>
      <c r="H13" s="4">
        <v>5300</v>
      </c>
      <c r="I13" s="4">
        <v>2070</v>
      </c>
      <c r="J13" s="4">
        <v>14000</v>
      </c>
      <c r="K13" s="4">
        <v>8119210826</v>
      </c>
    </row>
    <row r="14" spans="1:12" x14ac:dyDescent="0.25">
      <c r="A14" s="8">
        <v>43582</v>
      </c>
      <c r="B14" s="4" t="s">
        <v>297</v>
      </c>
      <c r="C14" s="4" t="s">
        <v>298</v>
      </c>
      <c r="D14" s="4"/>
      <c r="E14" s="4" t="s">
        <v>299</v>
      </c>
      <c r="F14" s="4">
        <v>3000</v>
      </c>
      <c r="G14" s="4">
        <v>4400</v>
      </c>
      <c r="H14" s="4"/>
      <c r="I14" s="4"/>
      <c r="J14" s="4">
        <v>7400</v>
      </c>
      <c r="K14" s="4">
        <v>8182720069</v>
      </c>
    </row>
    <row r="15" spans="1:12" x14ac:dyDescent="0.25">
      <c r="A15" s="8">
        <v>43582</v>
      </c>
      <c r="B15" s="4" t="s">
        <v>300</v>
      </c>
      <c r="C15" s="8">
        <v>43646</v>
      </c>
      <c r="D15" s="4"/>
      <c r="E15" s="4" t="s">
        <v>186</v>
      </c>
      <c r="F15" s="4">
        <v>500</v>
      </c>
      <c r="G15" s="4">
        <v>1500</v>
      </c>
      <c r="H15" s="4">
        <v>1000</v>
      </c>
      <c r="I15" s="4">
        <v>2650</v>
      </c>
      <c r="J15" s="4">
        <v>5200</v>
      </c>
      <c r="K15" s="4">
        <v>8116527575</v>
      </c>
    </row>
    <row r="16" spans="1:12" x14ac:dyDescent="0.25">
      <c r="A16" s="8">
        <v>43585</v>
      </c>
      <c r="B16" s="4" t="s">
        <v>301</v>
      </c>
      <c r="C16" s="5">
        <v>43596</v>
      </c>
      <c r="D16" s="4"/>
      <c r="E16" s="4" t="s">
        <v>302</v>
      </c>
      <c r="F16" s="4">
        <v>4000</v>
      </c>
      <c r="G16" s="4">
        <v>6100</v>
      </c>
      <c r="H16" s="4"/>
      <c r="I16" s="4"/>
      <c r="J16" s="4">
        <v>10000</v>
      </c>
      <c r="K16" s="4">
        <v>8117816600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2"/>
  <sheetViews>
    <sheetView topLeftCell="A10" workbookViewId="0"/>
  </sheetViews>
  <sheetFormatPr baseColWidth="10" defaultRowHeight="15" x14ac:dyDescent="0.25"/>
  <sheetData>
    <row r="1" spans="1:14" x14ac:dyDescent="0.25">
      <c r="A1" s="1" t="s">
        <v>9</v>
      </c>
      <c r="B1" s="1" t="s">
        <v>0</v>
      </c>
      <c r="C1" s="1" t="s">
        <v>1</v>
      </c>
      <c r="D1" s="1" t="s">
        <v>206</v>
      </c>
      <c r="E1" s="1" t="s">
        <v>3</v>
      </c>
      <c r="F1" s="1" t="s">
        <v>5</v>
      </c>
      <c r="G1" s="1" t="s">
        <v>6</v>
      </c>
      <c r="H1" s="1"/>
      <c r="I1" s="1" t="s">
        <v>7</v>
      </c>
      <c r="J1" s="1"/>
      <c r="K1" s="1"/>
      <c r="L1" s="1" t="s">
        <v>270</v>
      </c>
      <c r="M1" s="1" t="s">
        <v>271</v>
      </c>
    </row>
    <row r="2" spans="1:14" x14ac:dyDescent="0.25">
      <c r="A2" s="8">
        <v>43586</v>
      </c>
      <c r="B2" s="4" t="s">
        <v>303</v>
      </c>
      <c r="C2" s="4" t="s">
        <v>304</v>
      </c>
      <c r="D2" s="4"/>
      <c r="E2" s="4" t="s">
        <v>305</v>
      </c>
      <c r="F2" s="4">
        <v>2000</v>
      </c>
      <c r="G2" s="4">
        <v>3350</v>
      </c>
      <c r="H2" s="4"/>
      <c r="I2" s="4"/>
      <c r="J2" s="4"/>
      <c r="K2" s="4"/>
      <c r="L2" s="4" t="s">
        <v>306</v>
      </c>
      <c r="M2" s="4">
        <v>8122971833</v>
      </c>
    </row>
    <row r="3" spans="1:14" ht="75" x14ac:dyDescent="0.25">
      <c r="A3" s="26">
        <v>43586</v>
      </c>
      <c r="B3" s="10" t="s">
        <v>307</v>
      </c>
      <c r="C3" s="26">
        <v>43784</v>
      </c>
      <c r="D3" s="10"/>
      <c r="E3" s="46" t="s">
        <v>308</v>
      </c>
      <c r="F3" s="10">
        <v>1950</v>
      </c>
      <c r="G3" s="10"/>
      <c r="H3" s="10"/>
      <c r="I3" s="10"/>
      <c r="J3" s="10"/>
      <c r="K3" s="10"/>
      <c r="L3" s="10">
        <v>9150</v>
      </c>
      <c r="M3" s="10">
        <v>8132425798</v>
      </c>
    </row>
    <row r="4" spans="1:14" ht="90" x14ac:dyDescent="0.25">
      <c r="A4" s="8">
        <v>43587</v>
      </c>
      <c r="B4" s="4" t="s">
        <v>309</v>
      </c>
      <c r="C4" s="8">
        <v>43785</v>
      </c>
      <c r="D4" s="4"/>
      <c r="E4" s="40" t="s">
        <v>312</v>
      </c>
      <c r="F4" s="4">
        <v>2000</v>
      </c>
      <c r="G4" s="4">
        <v>2000</v>
      </c>
      <c r="H4" s="4">
        <v>1500</v>
      </c>
      <c r="I4" s="4">
        <v>1500</v>
      </c>
      <c r="J4" s="4">
        <v>1500</v>
      </c>
      <c r="K4" s="4">
        <v>1500</v>
      </c>
      <c r="L4" s="4">
        <v>10000</v>
      </c>
      <c r="M4" s="4">
        <v>8124029436</v>
      </c>
    </row>
    <row r="5" spans="1:14" ht="90" x14ac:dyDescent="0.25">
      <c r="A5" s="4" t="s">
        <v>310</v>
      </c>
      <c r="B5" s="4" t="s">
        <v>311</v>
      </c>
      <c r="C5" s="8">
        <v>43667</v>
      </c>
      <c r="D5" s="4"/>
      <c r="E5" s="40" t="s">
        <v>352</v>
      </c>
      <c r="F5" s="4">
        <v>3700</v>
      </c>
      <c r="G5" s="4">
        <v>1000</v>
      </c>
      <c r="H5" s="4"/>
      <c r="I5" s="4">
        <v>3000</v>
      </c>
      <c r="J5" s="4">
        <v>1970</v>
      </c>
      <c r="K5" s="4"/>
      <c r="L5" s="4">
        <v>9570</v>
      </c>
      <c r="M5" s="4">
        <v>8342663841</v>
      </c>
      <c r="N5" t="s">
        <v>294</v>
      </c>
    </row>
    <row r="6" spans="1:14" ht="60" x14ac:dyDescent="0.25">
      <c r="A6" s="8">
        <v>43589</v>
      </c>
      <c r="B6" s="4" t="s">
        <v>198</v>
      </c>
      <c r="C6" s="4"/>
      <c r="D6" s="4"/>
      <c r="E6" s="40" t="s">
        <v>313</v>
      </c>
      <c r="F6" s="4">
        <v>1800</v>
      </c>
      <c r="G6" s="4"/>
      <c r="H6" s="4"/>
      <c r="I6" s="4"/>
      <c r="J6" s="4"/>
      <c r="K6" s="4"/>
      <c r="L6" s="4"/>
      <c r="M6" s="4"/>
      <c r="N6" t="s">
        <v>294</v>
      </c>
    </row>
    <row r="7" spans="1:14" ht="30" x14ac:dyDescent="0.25">
      <c r="A7" s="8">
        <v>43589</v>
      </c>
      <c r="B7" s="4" t="s">
        <v>314</v>
      </c>
      <c r="C7" s="8">
        <v>43638</v>
      </c>
      <c r="D7" s="4"/>
      <c r="E7" s="40" t="s">
        <v>315</v>
      </c>
      <c r="F7" s="4">
        <v>1140</v>
      </c>
      <c r="G7" s="4">
        <v>500</v>
      </c>
      <c r="H7" s="4">
        <v>210</v>
      </c>
      <c r="I7" s="4">
        <v>3500</v>
      </c>
      <c r="J7" s="4"/>
      <c r="K7" s="4"/>
      <c r="L7" s="4">
        <v>5350</v>
      </c>
      <c r="M7" s="4">
        <v>8127322753</v>
      </c>
      <c r="N7" t="s">
        <v>294</v>
      </c>
    </row>
    <row r="8" spans="1:14" x14ac:dyDescent="0.25">
      <c r="A8" s="8">
        <v>43589</v>
      </c>
      <c r="B8" s="4" t="s">
        <v>316</v>
      </c>
      <c r="C8" s="8">
        <v>43722</v>
      </c>
      <c r="D8" s="4"/>
      <c r="E8" s="40" t="s">
        <v>407</v>
      </c>
      <c r="F8" s="4">
        <v>3828</v>
      </c>
      <c r="G8" s="4">
        <v>4800</v>
      </c>
      <c r="H8" s="4">
        <v>3045</v>
      </c>
      <c r="I8" s="4">
        <v>100</v>
      </c>
      <c r="J8" s="4"/>
      <c r="K8" s="4"/>
      <c r="L8" s="4">
        <v>11670</v>
      </c>
      <c r="M8" s="4">
        <v>8117913817</v>
      </c>
    </row>
    <row r="9" spans="1:14" x14ac:dyDescent="0.25">
      <c r="A9" s="8">
        <v>43599</v>
      </c>
      <c r="B9" s="4" t="s">
        <v>334</v>
      </c>
      <c r="C9" s="8">
        <v>43610</v>
      </c>
      <c r="D9" s="4"/>
      <c r="E9" s="4" t="s">
        <v>320</v>
      </c>
      <c r="F9" s="4">
        <v>3500</v>
      </c>
      <c r="G9" s="4">
        <v>5200</v>
      </c>
      <c r="H9" s="4"/>
      <c r="I9" s="4"/>
      <c r="J9" s="4"/>
      <c r="K9" s="4"/>
      <c r="L9" s="4">
        <v>8600</v>
      </c>
      <c r="M9" s="4">
        <v>8117461817</v>
      </c>
      <c r="N9" t="s">
        <v>294</v>
      </c>
    </row>
    <row r="10" spans="1:14" x14ac:dyDescent="0.25">
      <c r="A10" s="8">
        <v>43603</v>
      </c>
      <c r="B10" s="4" t="s">
        <v>322</v>
      </c>
      <c r="C10" s="8">
        <v>43721</v>
      </c>
      <c r="D10" s="4"/>
      <c r="E10" s="4" t="s">
        <v>323</v>
      </c>
      <c r="F10" s="4">
        <v>1000</v>
      </c>
      <c r="G10" s="4">
        <v>3020</v>
      </c>
      <c r="H10" s="4">
        <v>2000</v>
      </c>
      <c r="I10" s="4">
        <v>4030</v>
      </c>
      <c r="J10" s="4"/>
      <c r="K10" s="4"/>
      <c r="L10" s="4">
        <v>10050</v>
      </c>
      <c r="M10" s="4">
        <v>81162241931</v>
      </c>
    </row>
    <row r="11" spans="1:14" ht="60" x14ac:dyDescent="0.25">
      <c r="A11" s="8">
        <v>43603</v>
      </c>
      <c r="B11" s="4" t="s">
        <v>324</v>
      </c>
      <c r="C11" s="8">
        <v>43666</v>
      </c>
      <c r="D11" s="4"/>
      <c r="E11" s="40" t="s">
        <v>374</v>
      </c>
      <c r="F11" s="4">
        <v>4000</v>
      </c>
      <c r="G11" s="4">
        <v>300</v>
      </c>
      <c r="H11" s="4">
        <v>3720</v>
      </c>
      <c r="I11" s="4"/>
      <c r="J11" s="4"/>
      <c r="K11" s="4"/>
      <c r="L11" s="4">
        <v>7920</v>
      </c>
      <c r="M11" s="4">
        <v>8341665460</v>
      </c>
      <c r="N11" t="s">
        <v>294</v>
      </c>
    </row>
    <row r="12" spans="1:14" x14ac:dyDescent="0.25">
      <c r="A12" s="8">
        <v>43603</v>
      </c>
      <c r="B12" s="4" t="s">
        <v>325</v>
      </c>
      <c r="C12" s="8">
        <v>43905</v>
      </c>
      <c r="D12" s="4"/>
      <c r="E12" s="4" t="s">
        <v>326</v>
      </c>
      <c r="F12" s="4">
        <v>2700</v>
      </c>
      <c r="G12" s="4">
        <v>810</v>
      </c>
      <c r="H12" s="4">
        <v>3240</v>
      </c>
      <c r="I12" s="4"/>
      <c r="J12" s="4"/>
      <c r="K12" s="4"/>
      <c r="L12" s="4">
        <v>6750</v>
      </c>
      <c r="M12" s="4">
        <v>8112841098</v>
      </c>
      <c r="N12" s="36"/>
    </row>
    <row r="13" spans="1:14" ht="75" x14ac:dyDescent="0.25">
      <c r="A13" s="8">
        <v>43605</v>
      </c>
      <c r="B13" s="4" t="s">
        <v>328</v>
      </c>
      <c r="C13" s="8">
        <v>43631</v>
      </c>
      <c r="D13" s="4"/>
      <c r="E13" s="40" t="s">
        <v>329</v>
      </c>
      <c r="F13" s="4">
        <v>4000</v>
      </c>
      <c r="G13" s="4">
        <v>1650</v>
      </c>
      <c r="H13" s="4"/>
      <c r="I13" s="4"/>
      <c r="J13" s="4"/>
      <c r="K13" s="4"/>
      <c r="L13" s="4">
        <v>5550</v>
      </c>
      <c r="M13" s="4">
        <v>8123722068</v>
      </c>
    </row>
    <row r="14" spans="1:14" x14ac:dyDescent="0.25">
      <c r="A14" s="8">
        <v>43605</v>
      </c>
      <c r="B14" s="4" t="s">
        <v>330</v>
      </c>
      <c r="C14" s="8">
        <v>43652</v>
      </c>
      <c r="D14" s="4"/>
      <c r="E14" s="4" t="s">
        <v>331</v>
      </c>
      <c r="F14" s="4">
        <v>3000</v>
      </c>
      <c r="G14" s="4">
        <v>6000</v>
      </c>
      <c r="H14" s="4"/>
      <c r="I14" s="4"/>
      <c r="J14" s="4"/>
      <c r="K14" s="4"/>
      <c r="L14" s="4">
        <v>9100</v>
      </c>
      <c r="M14" s="4"/>
    </row>
    <row r="15" spans="1:14" x14ac:dyDescent="0.25">
      <c r="A15" s="8">
        <v>43606</v>
      </c>
      <c r="B15" s="4" t="s">
        <v>333</v>
      </c>
      <c r="C15" s="8">
        <v>43826</v>
      </c>
      <c r="D15" s="4"/>
      <c r="E15" s="4" t="s">
        <v>332</v>
      </c>
      <c r="F15" s="4">
        <v>3900</v>
      </c>
      <c r="G15" s="4">
        <v>7450</v>
      </c>
      <c r="H15" s="4"/>
      <c r="I15" s="4"/>
      <c r="J15" s="4"/>
      <c r="K15" s="4"/>
      <c r="L15" s="4">
        <v>11250</v>
      </c>
      <c r="M15" s="4">
        <v>8672122474</v>
      </c>
    </row>
    <row r="16" spans="1:14" x14ac:dyDescent="0.25">
      <c r="A16" s="8">
        <v>43608</v>
      </c>
      <c r="B16" s="4" t="s">
        <v>365</v>
      </c>
      <c r="C16" s="5">
        <v>43754</v>
      </c>
      <c r="D16" s="4"/>
      <c r="E16" s="4" t="s">
        <v>410</v>
      </c>
      <c r="F16" s="4">
        <v>2000</v>
      </c>
      <c r="G16" s="4">
        <v>1340</v>
      </c>
      <c r="H16" s="4">
        <v>1340</v>
      </c>
      <c r="I16" s="4">
        <v>100</v>
      </c>
      <c r="J16" s="4"/>
      <c r="K16" s="4"/>
      <c r="L16" s="4">
        <v>4680</v>
      </c>
      <c r="M16" s="4">
        <v>8110450471</v>
      </c>
    </row>
    <row r="17" spans="1:14" x14ac:dyDescent="0.25">
      <c r="A17" s="26">
        <v>43608</v>
      </c>
      <c r="B17" s="10" t="s">
        <v>335</v>
      </c>
      <c r="C17" s="33">
        <v>43666</v>
      </c>
      <c r="D17" s="10"/>
      <c r="E17" s="10" t="s">
        <v>336</v>
      </c>
      <c r="F17" s="10">
        <v>1340</v>
      </c>
      <c r="G17" s="10"/>
      <c r="H17" s="10"/>
      <c r="I17" s="10"/>
      <c r="J17" s="10"/>
      <c r="K17" s="10"/>
      <c r="L17" s="10">
        <v>2680</v>
      </c>
      <c r="M17" s="10"/>
    </row>
    <row r="18" spans="1:14" ht="60" x14ac:dyDescent="0.25">
      <c r="A18" s="8">
        <v>43610</v>
      </c>
      <c r="B18" s="4" t="s">
        <v>339</v>
      </c>
      <c r="C18" s="8">
        <v>43694</v>
      </c>
      <c r="D18" s="4"/>
      <c r="E18" s="40" t="s">
        <v>415</v>
      </c>
      <c r="F18" s="4">
        <v>2000</v>
      </c>
      <c r="G18" s="4">
        <v>2140</v>
      </c>
      <c r="H18" s="4">
        <v>3210</v>
      </c>
      <c r="I18" s="4">
        <v>3350</v>
      </c>
      <c r="J18" s="4">
        <v>320</v>
      </c>
      <c r="K18" s="4"/>
      <c r="L18" s="4">
        <v>10920</v>
      </c>
      <c r="M18" s="4">
        <v>8126832474</v>
      </c>
    </row>
    <row r="19" spans="1:14" x14ac:dyDescent="0.25">
      <c r="A19" s="8">
        <v>43610</v>
      </c>
      <c r="B19" s="4" t="s">
        <v>386</v>
      </c>
      <c r="C19" s="4" t="s">
        <v>229</v>
      </c>
      <c r="D19" s="4"/>
      <c r="E19" s="4" t="s">
        <v>475</v>
      </c>
      <c r="F19" s="4">
        <v>3800</v>
      </c>
      <c r="G19" s="4">
        <v>5700</v>
      </c>
      <c r="H19" s="4">
        <v>6535</v>
      </c>
      <c r="I19" s="4"/>
      <c r="J19" s="4"/>
      <c r="K19" s="4"/>
      <c r="L19" s="4">
        <v>9000</v>
      </c>
      <c r="M19" s="4">
        <v>8115995217</v>
      </c>
    </row>
    <row r="20" spans="1:14" x14ac:dyDescent="0.25">
      <c r="A20" s="26">
        <v>43610</v>
      </c>
      <c r="B20" s="10" t="s">
        <v>340</v>
      </c>
      <c r="C20" s="26">
        <v>43714</v>
      </c>
      <c r="D20" s="10"/>
      <c r="E20" s="10" t="s">
        <v>341</v>
      </c>
      <c r="F20" s="10">
        <v>1000</v>
      </c>
      <c r="G20" s="10"/>
      <c r="H20" s="10"/>
      <c r="I20" s="10"/>
      <c r="J20" s="10"/>
      <c r="K20" s="10"/>
      <c r="L20" s="10">
        <v>9450</v>
      </c>
      <c r="M20" s="10">
        <v>8186554694</v>
      </c>
      <c r="N20" t="s">
        <v>401</v>
      </c>
    </row>
    <row r="21" spans="1:14" x14ac:dyDescent="0.25">
      <c r="A21" s="8">
        <v>43612</v>
      </c>
      <c r="B21" s="4" t="s">
        <v>342</v>
      </c>
      <c r="C21" s="8">
        <v>43648</v>
      </c>
      <c r="D21" s="4"/>
      <c r="E21" s="4" t="s">
        <v>343</v>
      </c>
      <c r="F21" s="4">
        <v>2880</v>
      </c>
      <c r="G21" s="4">
        <v>1500</v>
      </c>
      <c r="H21" s="4">
        <v>700</v>
      </c>
      <c r="I21" s="4">
        <v>1000</v>
      </c>
      <c r="J21" s="4">
        <v>1220</v>
      </c>
      <c r="K21" s="4"/>
      <c r="L21" s="4">
        <v>7200</v>
      </c>
      <c r="M21" s="4"/>
    </row>
    <row r="22" spans="1:14" x14ac:dyDescent="0.25">
      <c r="A22" s="5">
        <v>43616</v>
      </c>
      <c r="B22" s="4" t="s">
        <v>345</v>
      </c>
      <c r="C22" s="8">
        <v>43757</v>
      </c>
      <c r="D22" s="4"/>
      <c r="E22" s="4" t="s">
        <v>346</v>
      </c>
      <c r="F22" s="4">
        <v>3600</v>
      </c>
      <c r="G22" s="4">
        <v>2700</v>
      </c>
      <c r="H22" s="4">
        <v>2700</v>
      </c>
      <c r="I22" s="4"/>
      <c r="J22" s="4"/>
      <c r="K22" s="4"/>
      <c r="L22" s="4">
        <v>9000</v>
      </c>
      <c r="M22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workbookViewId="0"/>
  </sheetViews>
  <sheetFormatPr baseColWidth="10" defaultRowHeight="15" x14ac:dyDescent="0.25"/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206</v>
      </c>
      <c r="E1" s="1" t="s">
        <v>3</v>
      </c>
      <c r="F1" s="1" t="s">
        <v>5</v>
      </c>
      <c r="G1" s="1" t="s">
        <v>6</v>
      </c>
      <c r="H1" s="1" t="s">
        <v>7</v>
      </c>
      <c r="I1" s="1"/>
      <c r="J1" s="1" t="s">
        <v>270</v>
      </c>
      <c r="K1" s="1" t="s">
        <v>271</v>
      </c>
    </row>
    <row r="2" spans="1:11" x14ac:dyDescent="0.25">
      <c r="A2" s="8">
        <v>43649</v>
      </c>
      <c r="B2" s="4" t="s">
        <v>387</v>
      </c>
      <c r="C2" s="5">
        <v>43692</v>
      </c>
      <c r="D2" s="4"/>
      <c r="E2" s="4" t="s">
        <v>388</v>
      </c>
      <c r="F2" s="4">
        <v>3500</v>
      </c>
      <c r="G2" s="4">
        <v>5100</v>
      </c>
      <c r="H2" s="4"/>
      <c r="I2" s="4"/>
      <c r="J2" s="4">
        <v>8500</v>
      </c>
      <c r="K2" s="4">
        <v>8123359125</v>
      </c>
    </row>
    <row r="3" spans="1:11" x14ac:dyDescent="0.25">
      <c r="A3" s="5">
        <v>43652</v>
      </c>
      <c r="B3" s="4" t="s">
        <v>389</v>
      </c>
      <c r="C3" s="5">
        <v>43701</v>
      </c>
      <c r="D3" s="4"/>
      <c r="E3" s="4" t="s">
        <v>390</v>
      </c>
      <c r="F3" s="4">
        <v>1300</v>
      </c>
      <c r="G3" s="4">
        <v>3300</v>
      </c>
      <c r="H3" s="4"/>
      <c r="I3" s="4"/>
      <c r="J3" s="4">
        <v>4600</v>
      </c>
      <c r="K3" s="4">
        <v>8128742971</v>
      </c>
    </row>
    <row r="4" spans="1:11" ht="45" x14ac:dyDescent="0.25">
      <c r="A4" s="8">
        <v>43654</v>
      </c>
      <c r="B4" s="4" t="s">
        <v>391</v>
      </c>
      <c r="C4" s="5">
        <v>43694</v>
      </c>
      <c r="D4" s="4"/>
      <c r="E4" s="40" t="s">
        <v>392</v>
      </c>
      <c r="F4" s="4">
        <v>3000</v>
      </c>
      <c r="G4" s="4">
        <v>4600</v>
      </c>
      <c r="H4" s="4"/>
      <c r="I4" s="4"/>
      <c r="J4" s="4">
        <v>7500</v>
      </c>
      <c r="K4" s="4">
        <v>8180170370</v>
      </c>
    </row>
    <row r="5" spans="1:11" x14ac:dyDescent="0.25">
      <c r="A5" s="4" t="s">
        <v>393</v>
      </c>
      <c r="B5" s="4" t="s">
        <v>394</v>
      </c>
      <c r="C5" s="8">
        <v>43702</v>
      </c>
      <c r="D5" s="4"/>
      <c r="E5" s="4" t="s">
        <v>395</v>
      </c>
      <c r="F5" s="4">
        <v>2000</v>
      </c>
      <c r="G5" s="4">
        <v>3000</v>
      </c>
      <c r="H5" s="4"/>
      <c r="I5" s="4"/>
      <c r="J5" s="4">
        <v>5000</v>
      </c>
      <c r="K5" s="4"/>
    </row>
    <row r="6" spans="1:11" x14ac:dyDescent="0.25">
      <c r="A6" s="8">
        <v>43655</v>
      </c>
      <c r="B6" s="4" t="s">
        <v>396</v>
      </c>
      <c r="C6" s="5">
        <v>43709</v>
      </c>
      <c r="D6" s="4"/>
      <c r="E6" s="4" t="s">
        <v>420</v>
      </c>
      <c r="F6" s="4">
        <v>4000</v>
      </c>
      <c r="G6" s="4">
        <v>5450</v>
      </c>
      <c r="H6" s="4"/>
      <c r="I6" s="4"/>
      <c r="J6" s="4">
        <v>9350</v>
      </c>
      <c r="K6" s="4">
        <v>8122842925</v>
      </c>
    </row>
    <row r="7" spans="1:11" x14ac:dyDescent="0.25">
      <c r="A7" s="26">
        <v>43656</v>
      </c>
      <c r="B7" s="10" t="s">
        <v>398</v>
      </c>
      <c r="C7" s="10"/>
      <c r="D7" s="10"/>
      <c r="E7" s="10" t="s">
        <v>399</v>
      </c>
      <c r="F7" s="10">
        <v>4708</v>
      </c>
      <c r="G7" s="10"/>
      <c r="H7" s="10"/>
      <c r="I7" s="10"/>
      <c r="J7" s="10">
        <v>11770</v>
      </c>
      <c r="K7" s="10"/>
    </row>
    <row r="8" spans="1:11" x14ac:dyDescent="0.25">
      <c r="A8" s="26">
        <v>43659</v>
      </c>
      <c r="B8" s="10" t="s">
        <v>402</v>
      </c>
      <c r="C8" s="26">
        <v>43783</v>
      </c>
      <c r="D8" s="10"/>
      <c r="E8" s="10" t="s">
        <v>403</v>
      </c>
      <c r="F8" s="10">
        <v>1500</v>
      </c>
      <c r="G8" s="10"/>
      <c r="H8" s="10"/>
      <c r="I8" s="10"/>
      <c r="J8" s="10">
        <v>3000</v>
      </c>
      <c r="K8" s="10">
        <v>818479601</v>
      </c>
    </row>
    <row r="9" spans="1:11" ht="45" x14ac:dyDescent="0.25">
      <c r="A9" s="8">
        <v>43663</v>
      </c>
      <c r="B9" s="4" t="s">
        <v>406</v>
      </c>
      <c r="C9" s="8">
        <v>43763</v>
      </c>
      <c r="D9" s="4"/>
      <c r="E9" s="40" t="s">
        <v>453</v>
      </c>
      <c r="F9" s="4">
        <v>2000</v>
      </c>
      <c r="G9" s="4">
        <v>1500</v>
      </c>
      <c r="H9" s="4">
        <v>700</v>
      </c>
      <c r="I9" s="4">
        <v>1100</v>
      </c>
      <c r="J9" s="4">
        <v>5200</v>
      </c>
      <c r="K9" s="4">
        <v>821213094</v>
      </c>
    </row>
    <row r="10" spans="1:11" x14ac:dyDescent="0.25">
      <c r="A10" s="8">
        <v>43666</v>
      </c>
      <c r="B10" s="4" t="s">
        <v>408</v>
      </c>
      <c r="C10" s="8">
        <v>43819</v>
      </c>
      <c r="D10" s="4"/>
      <c r="E10" s="4" t="s">
        <v>454</v>
      </c>
      <c r="F10" s="4">
        <v>4400</v>
      </c>
      <c r="G10" s="4">
        <v>3000</v>
      </c>
      <c r="H10" s="4">
        <v>2250</v>
      </c>
      <c r="I10" s="4"/>
      <c r="J10" s="4">
        <v>8550</v>
      </c>
      <c r="K10" s="4">
        <v>8241069719</v>
      </c>
    </row>
    <row r="11" spans="1:11" ht="75" x14ac:dyDescent="0.25">
      <c r="A11" s="8">
        <v>43672</v>
      </c>
      <c r="B11" s="4" t="s">
        <v>411</v>
      </c>
      <c r="C11" s="8">
        <v>43820</v>
      </c>
      <c r="D11" s="4"/>
      <c r="E11" s="40" t="s">
        <v>412</v>
      </c>
      <c r="F11" s="4">
        <v>11870</v>
      </c>
      <c r="G11" s="4"/>
      <c r="H11" s="4"/>
      <c r="I11" s="4"/>
      <c r="J11" s="4">
        <v>11870</v>
      </c>
      <c r="K11" s="4">
        <v>8311594584</v>
      </c>
    </row>
    <row r="12" spans="1:11" x14ac:dyDescent="0.25">
      <c r="A12" s="48">
        <v>43673</v>
      </c>
      <c r="B12" s="34" t="s">
        <v>413</v>
      </c>
      <c r="C12" s="48">
        <v>43778</v>
      </c>
      <c r="D12" s="36"/>
      <c r="E12" s="36" t="s">
        <v>414</v>
      </c>
      <c r="F12" s="34">
        <v>2240</v>
      </c>
      <c r="G12" s="36">
        <v>1800</v>
      </c>
      <c r="H12" s="36">
        <v>1560</v>
      </c>
      <c r="I12" s="36"/>
      <c r="J12" s="34">
        <v>5600</v>
      </c>
      <c r="K12" s="34">
        <v>8119818569</v>
      </c>
    </row>
    <row r="13" spans="1:11" ht="45" x14ac:dyDescent="0.25">
      <c r="A13" s="48">
        <v>43677</v>
      </c>
      <c r="B13" s="34" t="s">
        <v>417</v>
      </c>
      <c r="C13" s="48">
        <v>43826</v>
      </c>
      <c r="D13" s="36"/>
      <c r="E13" s="50" t="s">
        <v>447</v>
      </c>
      <c r="F13" s="34">
        <v>5000</v>
      </c>
      <c r="G13" s="36">
        <v>500</v>
      </c>
      <c r="H13" s="36">
        <v>1500</v>
      </c>
      <c r="I13" s="36">
        <v>3500</v>
      </c>
      <c r="J13" s="34">
        <v>10400</v>
      </c>
      <c r="K13" s="34">
        <v>812606568</v>
      </c>
    </row>
    <row r="14" spans="1:11" ht="45" x14ac:dyDescent="0.25">
      <c r="A14" s="48">
        <v>43677</v>
      </c>
      <c r="B14" s="34" t="s">
        <v>418</v>
      </c>
      <c r="C14" s="48">
        <v>43701</v>
      </c>
      <c r="D14" s="36"/>
      <c r="E14" s="50" t="s">
        <v>419</v>
      </c>
      <c r="F14" s="34">
        <v>1800</v>
      </c>
      <c r="G14" s="36">
        <v>2720</v>
      </c>
      <c r="H14" s="36"/>
      <c r="I14" s="36"/>
      <c r="J14" s="34" t="s">
        <v>423</v>
      </c>
      <c r="K14" s="34">
        <v>83125826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topLeftCell="A13" workbookViewId="0"/>
  </sheetViews>
  <sheetFormatPr baseColWidth="10" defaultRowHeight="15" x14ac:dyDescent="0.25"/>
  <sheetData>
    <row r="1" spans="1:15" ht="18.75" x14ac:dyDescent="0.4">
      <c r="A1" s="1" t="s">
        <v>9</v>
      </c>
      <c r="B1" s="1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 t="s">
        <v>841</v>
      </c>
      <c r="L1" s="57" t="s">
        <v>842</v>
      </c>
      <c r="M1" s="57" t="s">
        <v>270</v>
      </c>
      <c r="N1" s="57" t="s">
        <v>271</v>
      </c>
      <c r="O1" s="60" t="s">
        <v>833</v>
      </c>
    </row>
    <row r="2" spans="1:15" x14ac:dyDescent="0.25">
      <c r="A2" s="8">
        <v>43617</v>
      </c>
      <c r="B2" s="4" t="s">
        <v>347</v>
      </c>
      <c r="C2" s="8">
        <v>43665</v>
      </c>
      <c r="D2" s="4"/>
      <c r="E2" s="4" t="s">
        <v>348</v>
      </c>
      <c r="F2" s="4">
        <v>2412</v>
      </c>
      <c r="G2" s="4">
        <v>1800</v>
      </c>
      <c r="H2" s="4">
        <v>1918</v>
      </c>
      <c r="I2" s="4"/>
      <c r="J2" s="4"/>
      <c r="K2" s="4"/>
      <c r="L2" s="4"/>
      <c r="M2" s="4">
        <v>6030</v>
      </c>
      <c r="N2" s="4">
        <v>8110285169</v>
      </c>
    </row>
    <row r="3" spans="1:15" x14ac:dyDescent="0.25">
      <c r="A3" s="8">
        <v>43617</v>
      </c>
      <c r="B3" s="4" t="s">
        <v>349</v>
      </c>
      <c r="C3" s="8">
        <v>43673</v>
      </c>
      <c r="D3" s="4"/>
      <c r="E3" s="4" t="s">
        <v>369</v>
      </c>
      <c r="F3" s="4">
        <v>3800</v>
      </c>
      <c r="G3" s="4">
        <v>300</v>
      </c>
      <c r="H3" s="4">
        <v>3520</v>
      </c>
      <c r="I3" s="4">
        <v>3100</v>
      </c>
      <c r="J3" s="4"/>
      <c r="K3" s="4"/>
      <c r="L3" s="4"/>
      <c r="M3" s="4">
        <v>10620</v>
      </c>
      <c r="N3" s="4">
        <v>8123558332</v>
      </c>
    </row>
    <row r="4" spans="1:15" x14ac:dyDescent="0.25">
      <c r="A4" s="8">
        <v>43617</v>
      </c>
      <c r="B4" s="4" t="s">
        <v>364</v>
      </c>
      <c r="C4" s="8">
        <v>43806</v>
      </c>
      <c r="D4" s="4"/>
      <c r="E4" s="4" t="s">
        <v>265</v>
      </c>
      <c r="F4" s="4">
        <v>1400</v>
      </c>
      <c r="G4" s="4">
        <v>1050</v>
      </c>
      <c r="H4" s="4">
        <v>1050</v>
      </c>
      <c r="I4" s="4"/>
      <c r="J4" s="4"/>
      <c r="K4" s="4"/>
      <c r="L4" s="4"/>
      <c r="M4" s="4">
        <v>3500</v>
      </c>
      <c r="N4" s="4"/>
    </row>
    <row r="5" spans="1:15" x14ac:dyDescent="0.25">
      <c r="A5" s="8" t="s">
        <v>504</v>
      </c>
      <c r="B5" s="4" t="s">
        <v>350</v>
      </c>
      <c r="C5" s="8">
        <v>43770</v>
      </c>
      <c r="D5" s="4"/>
      <c r="E5" s="4" t="s">
        <v>351</v>
      </c>
      <c r="F5" s="4">
        <v>1500</v>
      </c>
      <c r="G5" s="4">
        <v>1380</v>
      </c>
      <c r="H5" s="4">
        <v>1000</v>
      </c>
      <c r="I5" s="4">
        <v>1000</v>
      </c>
      <c r="J5" s="4">
        <v>1000</v>
      </c>
      <c r="K5" s="4">
        <v>1000</v>
      </c>
      <c r="L5" s="4">
        <v>420</v>
      </c>
      <c r="M5" s="4">
        <v>7200</v>
      </c>
      <c r="N5" s="4">
        <v>8110134436</v>
      </c>
    </row>
    <row r="6" spans="1:15" ht="60" x14ac:dyDescent="0.25">
      <c r="A6" s="8">
        <v>43624</v>
      </c>
      <c r="B6" s="4" t="s">
        <v>377</v>
      </c>
      <c r="C6" s="8">
        <v>43659</v>
      </c>
      <c r="D6" s="4"/>
      <c r="E6" s="40" t="s">
        <v>353</v>
      </c>
      <c r="F6" s="4">
        <v>5000</v>
      </c>
      <c r="G6" s="4">
        <v>3670</v>
      </c>
      <c r="H6" s="4"/>
      <c r="I6" s="4"/>
      <c r="J6" s="4"/>
      <c r="K6" s="4"/>
      <c r="L6" s="4"/>
      <c r="M6" s="4">
        <v>8570</v>
      </c>
      <c r="N6" s="4">
        <v>8114893393</v>
      </c>
    </row>
    <row r="7" spans="1:15" x14ac:dyDescent="0.25">
      <c r="A7" s="8">
        <v>43624</v>
      </c>
      <c r="B7" s="4" t="s">
        <v>354</v>
      </c>
      <c r="C7" s="8">
        <v>43820</v>
      </c>
      <c r="D7" s="4"/>
      <c r="E7" s="4" t="s">
        <v>409</v>
      </c>
      <c r="F7" s="4">
        <v>3420</v>
      </c>
      <c r="G7" s="4">
        <v>2700</v>
      </c>
      <c r="H7" s="4">
        <v>2880</v>
      </c>
      <c r="I7" s="4">
        <v>1100</v>
      </c>
      <c r="J7" s="4">
        <v>1000</v>
      </c>
      <c r="K7" s="4"/>
      <c r="L7" s="4"/>
      <c r="M7" s="4">
        <v>11100</v>
      </c>
      <c r="N7" s="4">
        <v>8125961799</v>
      </c>
    </row>
    <row r="8" spans="1:15" x14ac:dyDescent="0.25">
      <c r="A8" s="5">
        <v>43624</v>
      </c>
      <c r="B8" s="4" t="s">
        <v>355</v>
      </c>
      <c r="C8" s="8">
        <v>43736</v>
      </c>
      <c r="D8" s="4"/>
      <c r="E8" s="4" t="s">
        <v>404</v>
      </c>
      <c r="F8" s="4">
        <v>1700</v>
      </c>
      <c r="G8" s="4">
        <v>1165</v>
      </c>
      <c r="H8" s="4">
        <v>455</v>
      </c>
      <c r="I8" s="4">
        <v>1300</v>
      </c>
      <c r="J8" s="4"/>
      <c r="K8" s="4"/>
      <c r="L8" s="4"/>
      <c r="M8" s="4">
        <v>4620</v>
      </c>
      <c r="N8" s="4">
        <v>8129149159</v>
      </c>
    </row>
    <row r="9" spans="1:15" x14ac:dyDescent="0.25">
      <c r="A9" s="8">
        <v>43624</v>
      </c>
      <c r="B9" s="4" t="s">
        <v>356</v>
      </c>
      <c r="C9" s="8">
        <v>43770</v>
      </c>
      <c r="D9" s="4"/>
      <c r="E9" s="4" t="s">
        <v>357</v>
      </c>
      <c r="F9" s="4">
        <v>2700</v>
      </c>
      <c r="G9" s="4">
        <v>1100</v>
      </c>
      <c r="H9" s="4">
        <v>2950</v>
      </c>
      <c r="I9" s="4"/>
      <c r="J9" s="4"/>
      <c r="K9" s="4"/>
      <c r="L9" s="4"/>
      <c r="M9" s="4">
        <v>6750</v>
      </c>
      <c r="N9" s="4">
        <v>8123829741</v>
      </c>
    </row>
    <row r="10" spans="1:15" x14ac:dyDescent="0.25">
      <c r="A10" s="5">
        <v>43631</v>
      </c>
      <c r="B10" s="4" t="s">
        <v>358</v>
      </c>
      <c r="C10" s="6">
        <v>43739</v>
      </c>
      <c r="D10" s="4"/>
      <c r="E10" s="4" t="s">
        <v>483</v>
      </c>
      <c r="F10" s="4">
        <v>3600</v>
      </c>
      <c r="G10" s="4">
        <v>6200</v>
      </c>
      <c r="H10" s="4">
        <v>2750</v>
      </c>
      <c r="I10" s="4"/>
      <c r="J10" s="4"/>
      <c r="K10" s="4"/>
      <c r="L10" s="4"/>
      <c r="M10" s="4">
        <v>11750</v>
      </c>
      <c r="N10" s="4"/>
    </row>
    <row r="11" spans="1:15" ht="75" x14ac:dyDescent="0.25">
      <c r="A11" s="5">
        <v>43631</v>
      </c>
      <c r="B11" s="4" t="s">
        <v>359</v>
      </c>
      <c r="C11" s="8">
        <v>43960</v>
      </c>
      <c r="D11" s="4"/>
      <c r="E11" s="40" t="s">
        <v>361</v>
      </c>
      <c r="F11" s="4">
        <v>4000</v>
      </c>
      <c r="G11" s="4">
        <v>3160</v>
      </c>
      <c r="H11" s="4">
        <v>2500</v>
      </c>
      <c r="I11" s="4">
        <v>2500</v>
      </c>
      <c r="J11" s="4">
        <v>4000</v>
      </c>
      <c r="K11" s="4">
        <v>1740</v>
      </c>
      <c r="L11" s="4"/>
      <c r="M11" s="4">
        <v>17900</v>
      </c>
      <c r="N11" s="4">
        <v>8113144016</v>
      </c>
      <c r="O11" t="s">
        <v>360</v>
      </c>
    </row>
    <row r="12" spans="1:15" ht="75" x14ac:dyDescent="0.25">
      <c r="A12" s="48">
        <v>43637</v>
      </c>
      <c r="B12" s="34" t="s">
        <v>366</v>
      </c>
      <c r="C12" s="48">
        <v>43692</v>
      </c>
      <c r="D12" s="36"/>
      <c r="E12" s="49" t="s">
        <v>367</v>
      </c>
      <c r="F12" s="4">
        <v>5000</v>
      </c>
      <c r="G12" s="4">
        <v>3640</v>
      </c>
      <c r="H12" s="4">
        <v>2000</v>
      </c>
      <c r="I12" s="4">
        <v>2000</v>
      </c>
      <c r="J12" s="4"/>
      <c r="K12" s="4"/>
      <c r="L12" s="4"/>
      <c r="M12" s="4">
        <v>12640</v>
      </c>
      <c r="N12" s="4">
        <v>8110474500</v>
      </c>
    </row>
    <row r="13" spans="1:15" x14ac:dyDescent="0.25">
      <c r="A13" s="8">
        <v>43637</v>
      </c>
      <c r="B13" s="4" t="s">
        <v>368</v>
      </c>
      <c r="C13" s="5">
        <v>43701</v>
      </c>
      <c r="D13" s="4"/>
      <c r="E13" s="4" t="s">
        <v>405</v>
      </c>
      <c r="F13" s="4">
        <v>2016</v>
      </c>
      <c r="G13" s="4">
        <v>2000</v>
      </c>
      <c r="H13" s="4">
        <v>400</v>
      </c>
      <c r="I13" s="4">
        <v>1274</v>
      </c>
      <c r="J13" s="4"/>
      <c r="K13" s="4"/>
      <c r="L13" s="4"/>
      <c r="M13" s="4">
        <v>5590</v>
      </c>
      <c r="N13" s="4">
        <v>8126552711</v>
      </c>
    </row>
    <row r="14" spans="1:15" x14ac:dyDescent="0.25">
      <c r="A14" s="8" t="s">
        <v>455</v>
      </c>
      <c r="B14" s="4" t="s">
        <v>370</v>
      </c>
      <c r="C14" s="8">
        <v>43748</v>
      </c>
      <c r="D14" s="4"/>
      <c r="E14" s="4" t="s">
        <v>371</v>
      </c>
      <c r="F14" s="4">
        <v>2000</v>
      </c>
      <c r="G14" s="4">
        <v>2420</v>
      </c>
      <c r="H14" s="4">
        <v>3315</v>
      </c>
      <c r="I14" s="4">
        <v>3315</v>
      </c>
      <c r="J14" s="4"/>
      <c r="K14" s="4"/>
      <c r="L14" s="4"/>
      <c r="M14" s="4">
        <v>11050</v>
      </c>
      <c r="N14" s="4">
        <v>8111848265</v>
      </c>
    </row>
    <row r="15" spans="1:15" x14ac:dyDescent="0.25">
      <c r="A15" s="8">
        <v>43638</v>
      </c>
      <c r="B15" s="4" t="s">
        <v>372</v>
      </c>
      <c r="C15" s="4" t="s">
        <v>95</v>
      </c>
      <c r="D15" s="4"/>
      <c r="E15" s="4" t="s">
        <v>373</v>
      </c>
      <c r="F15" s="4">
        <v>5570</v>
      </c>
      <c r="G15" s="4"/>
      <c r="H15" s="4"/>
      <c r="I15" s="4"/>
      <c r="J15" s="4"/>
      <c r="K15" s="4"/>
      <c r="L15" s="4"/>
      <c r="M15" s="4">
        <v>5570</v>
      </c>
      <c r="N15" s="4">
        <v>8186911534</v>
      </c>
    </row>
    <row r="16" spans="1:15" x14ac:dyDescent="0.25">
      <c r="A16" s="8">
        <v>43638</v>
      </c>
      <c r="B16" s="4" t="s">
        <v>375</v>
      </c>
      <c r="C16" s="8">
        <v>43819</v>
      </c>
      <c r="D16" s="4"/>
      <c r="E16" s="4" t="s">
        <v>378</v>
      </c>
      <c r="F16" s="4">
        <v>2880</v>
      </c>
      <c r="G16" s="4">
        <v>3500</v>
      </c>
      <c r="H16" s="4">
        <v>820</v>
      </c>
      <c r="I16" s="4"/>
      <c r="J16" s="4"/>
      <c r="K16" s="4"/>
      <c r="L16" s="4"/>
      <c r="M16" s="4">
        <v>7200</v>
      </c>
      <c r="N16" s="4"/>
    </row>
    <row r="17" spans="1:15" x14ac:dyDescent="0.25">
      <c r="A17" s="8">
        <v>43640</v>
      </c>
      <c r="B17" s="4" t="s">
        <v>379</v>
      </c>
      <c r="C17" s="8">
        <v>43841</v>
      </c>
      <c r="D17" s="4"/>
      <c r="E17" s="4" t="s">
        <v>378</v>
      </c>
      <c r="F17" s="4">
        <v>1440</v>
      </c>
      <c r="G17" s="4">
        <v>1500</v>
      </c>
      <c r="H17" s="4">
        <v>1500</v>
      </c>
      <c r="I17" s="4">
        <v>1500</v>
      </c>
      <c r="J17" s="4">
        <v>1260</v>
      </c>
      <c r="K17" s="4"/>
      <c r="L17" s="4"/>
      <c r="M17" s="4">
        <v>7200</v>
      </c>
      <c r="N17" s="4">
        <v>8120727876</v>
      </c>
      <c r="O17" t="s">
        <v>380</v>
      </c>
    </row>
    <row r="18" spans="1:15" x14ac:dyDescent="0.25">
      <c r="A18" s="8">
        <v>43640</v>
      </c>
      <c r="B18" s="4" t="s">
        <v>381</v>
      </c>
      <c r="C18" s="8">
        <v>43771</v>
      </c>
      <c r="D18" s="4"/>
      <c r="E18" s="4" t="s">
        <v>469</v>
      </c>
      <c r="F18" s="4">
        <v>4000</v>
      </c>
      <c r="G18" s="4">
        <v>2000</v>
      </c>
      <c r="H18" s="4">
        <v>1200</v>
      </c>
      <c r="I18" s="4">
        <v>2800</v>
      </c>
      <c r="J18" s="4"/>
      <c r="K18" s="4"/>
      <c r="L18" s="4"/>
      <c r="M18" s="4">
        <v>8550</v>
      </c>
      <c r="N18" s="4">
        <v>8111795719</v>
      </c>
    </row>
    <row r="19" spans="1:15" x14ac:dyDescent="0.25">
      <c r="A19" s="8">
        <v>43645</v>
      </c>
      <c r="B19" s="4" t="s">
        <v>382</v>
      </c>
      <c r="C19" s="8">
        <v>43673</v>
      </c>
      <c r="D19" s="4"/>
      <c r="E19" s="4" t="s">
        <v>383</v>
      </c>
      <c r="F19" s="4">
        <v>7000</v>
      </c>
      <c r="G19" s="4">
        <v>1150</v>
      </c>
      <c r="H19" s="4"/>
      <c r="I19" s="4"/>
      <c r="J19" s="4"/>
      <c r="K19" s="4"/>
      <c r="L19" s="4"/>
      <c r="M19" s="4">
        <v>8050</v>
      </c>
      <c r="N19" s="4">
        <v>8186815276</v>
      </c>
      <c r="O19" t="s">
        <v>400</v>
      </c>
    </row>
    <row r="20" spans="1:15" x14ac:dyDescent="0.25">
      <c r="A20" s="8">
        <v>43645</v>
      </c>
      <c r="B20" s="4" t="s">
        <v>384</v>
      </c>
      <c r="C20" s="6">
        <v>43800</v>
      </c>
      <c r="D20" s="4"/>
      <c r="E20" s="4" t="s">
        <v>385</v>
      </c>
      <c r="F20" s="4">
        <v>3500</v>
      </c>
      <c r="G20" s="4">
        <v>5250</v>
      </c>
      <c r="H20" s="4"/>
      <c r="I20" s="4"/>
      <c r="J20" s="4"/>
      <c r="K20" s="4"/>
      <c r="L20" s="4"/>
      <c r="M20" s="4">
        <v>8750</v>
      </c>
      <c r="N20" s="4">
        <v>8116125589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6"/>
  <sheetViews>
    <sheetView topLeftCell="A10" workbookViewId="0"/>
  </sheetViews>
  <sheetFormatPr baseColWidth="10" defaultRowHeight="15" x14ac:dyDescent="0.25"/>
  <sheetData>
    <row r="1" spans="1:14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 t="s">
        <v>841</v>
      </c>
      <c r="L1" s="57" t="s">
        <v>270</v>
      </c>
      <c r="M1" s="57" t="s">
        <v>271</v>
      </c>
      <c r="N1" s="61" t="s">
        <v>833</v>
      </c>
    </row>
    <row r="2" spans="1:14" ht="60" x14ac:dyDescent="0.25">
      <c r="A2" s="8">
        <v>43687</v>
      </c>
      <c r="B2" s="4" t="s">
        <v>421</v>
      </c>
      <c r="C2" s="4"/>
      <c r="D2" s="4"/>
      <c r="E2" s="40" t="s">
        <v>422</v>
      </c>
      <c r="F2" s="4">
        <v>6000</v>
      </c>
      <c r="G2" s="4">
        <v>6350</v>
      </c>
      <c r="H2" s="4"/>
      <c r="I2" s="4"/>
      <c r="J2" s="4"/>
      <c r="K2" s="4"/>
      <c r="L2" s="4">
        <v>11600</v>
      </c>
      <c r="M2" s="4">
        <v>8184634980</v>
      </c>
    </row>
    <row r="3" spans="1:14" x14ac:dyDescent="0.25">
      <c r="A3" s="8">
        <v>43698</v>
      </c>
      <c r="B3" s="4" t="s">
        <v>424</v>
      </c>
      <c r="C3" s="4"/>
      <c r="D3" s="4"/>
      <c r="E3" s="4" t="s">
        <v>426</v>
      </c>
      <c r="F3" s="4">
        <v>2000</v>
      </c>
      <c r="G3" s="4">
        <v>1650</v>
      </c>
      <c r="H3" s="4">
        <v>2500</v>
      </c>
      <c r="I3" s="4">
        <v>1500</v>
      </c>
      <c r="J3" s="4"/>
      <c r="K3" s="4"/>
      <c r="L3" s="4">
        <v>7650</v>
      </c>
      <c r="M3" s="4">
        <v>8112219952</v>
      </c>
    </row>
    <row r="4" spans="1:14" ht="90" x14ac:dyDescent="0.25">
      <c r="A4" s="8">
        <v>43698</v>
      </c>
      <c r="B4" s="4" t="s">
        <v>425</v>
      </c>
      <c r="C4" s="4"/>
      <c r="D4" s="4"/>
      <c r="E4" s="40" t="s">
        <v>427</v>
      </c>
      <c r="F4" s="4">
        <v>10370</v>
      </c>
      <c r="G4" s="4"/>
      <c r="H4" s="4"/>
      <c r="I4" s="4"/>
      <c r="J4" s="4"/>
      <c r="K4" s="4"/>
      <c r="L4" s="4">
        <v>10370</v>
      </c>
      <c r="M4" s="4"/>
    </row>
    <row r="5" spans="1:14" x14ac:dyDescent="0.25">
      <c r="A5" s="8">
        <v>43700</v>
      </c>
      <c r="B5" s="4" t="s">
        <v>428</v>
      </c>
      <c r="C5" s="8">
        <v>43967</v>
      </c>
      <c r="D5" s="4"/>
      <c r="E5" s="4" t="s">
        <v>862</v>
      </c>
      <c r="F5" s="4">
        <v>1300</v>
      </c>
      <c r="G5" s="4">
        <v>5000</v>
      </c>
      <c r="H5" s="4">
        <v>2700</v>
      </c>
      <c r="I5" s="4"/>
      <c r="J5" s="4"/>
      <c r="K5" s="4"/>
      <c r="L5" s="4">
        <v>9000</v>
      </c>
      <c r="M5" s="4">
        <v>8122923804</v>
      </c>
    </row>
    <row r="6" spans="1:14" x14ac:dyDescent="0.25">
      <c r="A6" s="8">
        <v>43701</v>
      </c>
      <c r="B6" s="4" t="s">
        <v>429</v>
      </c>
      <c r="C6" s="5">
        <v>43827</v>
      </c>
      <c r="D6" s="4"/>
      <c r="E6" s="4" t="s">
        <v>533</v>
      </c>
      <c r="F6" s="4">
        <v>3000</v>
      </c>
      <c r="G6" s="4">
        <v>2040</v>
      </c>
      <c r="H6" s="4">
        <v>500</v>
      </c>
      <c r="I6" s="4">
        <v>1760</v>
      </c>
      <c r="J6" s="4">
        <v>1000</v>
      </c>
      <c r="K6" s="4"/>
      <c r="L6" s="4">
        <v>7850</v>
      </c>
      <c r="M6" s="4"/>
    </row>
    <row r="7" spans="1:14" x14ac:dyDescent="0.25">
      <c r="A7" s="8">
        <v>43701</v>
      </c>
      <c r="B7" s="4" t="s">
        <v>430</v>
      </c>
      <c r="C7" s="5">
        <v>43468</v>
      </c>
      <c r="D7" s="4"/>
      <c r="E7" s="4" t="s">
        <v>431</v>
      </c>
      <c r="F7" s="4">
        <v>4000</v>
      </c>
      <c r="G7" s="4">
        <v>2200</v>
      </c>
      <c r="H7" s="4">
        <v>3700</v>
      </c>
      <c r="I7" s="4"/>
      <c r="J7" s="4"/>
      <c r="K7" s="4"/>
      <c r="L7" s="4">
        <v>9900</v>
      </c>
      <c r="M7" s="4">
        <v>8181763984</v>
      </c>
    </row>
    <row r="8" spans="1:14" x14ac:dyDescent="0.25">
      <c r="A8" s="8">
        <v>43701</v>
      </c>
      <c r="B8" s="4" t="s">
        <v>432</v>
      </c>
      <c r="C8" s="8">
        <v>43820</v>
      </c>
      <c r="D8" s="4"/>
      <c r="E8" s="4" t="s">
        <v>492</v>
      </c>
      <c r="F8" s="4">
        <v>3900</v>
      </c>
      <c r="G8" s="4">
        <v>3000</v>
      </c>
      <c r="H8" s="4">
        <v>700</v>
      </c>
      <c r="I8" s="4">
        <v>4400</v>
      </c>
      <c r="J8" s="4"/>
      <c r="K8" s="4"/>
      <c r="L8" s="4">
        <v>9900</v>
      </c>
      <c r="M8" s="4">
        <v>8261355852</v>
      </c>
    </row>
    <row r="9" spans="1:14" x14ac:dyDescent="0.25">
      <c r="A9" s="8">
        <v>43701</v>
      </c>
      <c r="B9" s="4" t="s">
        <v>433</v>
      </c>
      <c r="C9" s="8">
        <v>43820</v>
      </c>
      <c r="D9" s="4"/>
      <c r="E9" s="4" t="s">
        <v>505</v>
      </c>
      <c r="F9" s="4">
        <v>3420</v>
      </c>
      <c r="G9" s="4">
        <v>5130</v>
      </c>
      <c r="H9" s="4">
        <v>200</v>
      </c>
      <c r="I9" s="4"/>
      <c r="J9" s="4"/>
      <c r="K9" s="4"/>
      <c r="L9" s="4">
        <v>8550</v>
      </c>
      <c r="M9" s="4">
        <v>8130982389</v>
      </c>
    </row>
    <row r="10" spans="1:14" ht="60" x14ac:dyDescent="0.25">
      <c r="A10" s="8">
        <v>43706</v>
      </c>
      <c r="B10" s="4" t="s">
        <v>434</v>
      </c>
      <c r="C10" s="8">
        <v>43778</v>
      </c>
      <c r="D10" s="4"/>
      <c r="E10" s="40" t="s">
        <v>476</v>
      </c>
      <c r="F10" s="4">
        <v>4000</v>
      </c>
      <c r="G10" s="4">
        <v>5000</v>
      </c>
      <c r="H10" s="4">
        <v>400</v>
      </c>
      <c r="I10" s="4">
        <v>1000</v>
      </c>
      <c r="J10" s="4"/>
      <c r="K10" s="4"/>
      <c r="L10" s="4">
        <v>10250</v>
      </c>
      <c r="M10" s="4">
        <v>8116605003</v>
      </c>
    </row>
    <row r="11" spans="1:14" x14ac:dyDescent="0.25">
      <c r="A11" s="8">
        <v>43706</v>
      </c>
      <c r="B11" s="4" t="s">
        <v>435</v>
      </c>
      <c r="C11" s="8">
        <v>43764</v>
      </c>
      <c r="D11" s="4"/>
      <c r="E11" s="4" t="s">
        <v>436</v>
      </c>
      <c r="F11" s="4">
        <v>3500</v>
      </c>
      <c r="G11" s="4">
        <v>2750</v>
      </c>
      <c r="H11" s="4">
        <v>1500</v>
      </c>
      <c r="I11" s="4">
        <v>1450</v>
      </c>
      <c r="J11" s="4"/>
      <c r="K11" s="4"/>
      <c r="L11" s="4">
        <v>9200</v>
      </c>
      <c r="M11" s="4">
        <v>9127475827</v>
      </c>
    </row>
    <row r="12" spans="1:14" x14ac:dyDescent="0.25">
      <c r="A12" s="8">
        <v>43707</v>
      </c>
      <c r="B12" s="4" t="s">
        <v>437</v>
      </c>
      <c r="C12" s="8">
        <v>43904</v>
      </c>
      <c r="D12" s="4"/>
      <c r="E12" s="4" t="s">
        <v>438</v>
      </c>
      <c r="F12" s="4">
        <v>3700</v>
      </c>
      <c r="G12" s="4">
        <v>3000</v>
      </c>
      <c r="H12" s="4">
        <v>2750</v>
      </c>
      <c r="I12" s="4"/>
      <c r="J12" s="4"/>
      <c r="K12" s="4"/>
      <c r="L12" s="4">
        <v>9450</v>
      </c>
      <c r="M12" s="4">
        <v>8125960462</v>
      </c>
      <c r="N12" t="s">
        <v>538</v>
      </c>
    </row>
    <row r="13" spans="1:14" x14ac:dyDescent="0.25">
      <c r="A13" s="8">
        <v>43708</v>
      </c>
      <c r="B13" s="4" t="s">
        <v>440</v>
      </c>
      <c r="C13" s="8">
        <v>43828</v>
      </c>
      <c r="D13" s="4"/>
      <c r="E13" s="4" t="s">
        <v>441</v>
      </c>
      <c r="F13" s="4">
        <v>4000</v>
      </c>
      <c r="G13" s="4">
        <v>1500</v>
      </c>
      <c r="H13" s="4">
        <v>1000</v>
      </c>
      <c r="I13" s="4">
        <v>1000</v>
      </c>
      <c r="J13" s="4"/>
      <c r="K13" s="4"/>
      <c r="L13" s="4">
        <v>7500</v>
      </c>
      <c r="M13" s="4">
        <v>8117157620</v>
      </c>
    </row>
    <row r="14" spans="1:14" x14ac:dyDescent="0.25">
      <c r="A14" s="8">
        <v>43708</v>
      </c>
      <c r="B14" s="4" t="s">
        <v>442</v>
      </c>
      <c r="C14" s="8">
        <v>43953</v>
      </c>
      <c r="D14" s="4"/>
      <c r="E14" s="4" t="s">
        <v>604</v>
      </c>
      <c r="F14" s="4">
        <v>1530</v>
      </c>
      <c r="G14" s="4">
        <v>1530</v>
      </c>
      <c r="H14" s="4">
        <v>1530</v>
      </c>
      <c r="I14" s="4">
        <v>1530</v>
      </c>
      <c r="J14" s="4">
        <v>1530</v>
      </c>
      <c r="K14" s="4">
        <v>2150</v>
      </c>
      <c r="L14" s="4">
        <v>9800</v>
      </c>
      <c r="M14" s="4">
        <v>8116378035</v>
      </c>
      <c r="N14" t="s">
        <v>380</v>
      </c>
    </row>
    <row r="15" spans="1:14" ht="75" x14ac:dyDescent="0.25">
      <c r="A15" s="8">
        <v>43708</v>
      </c>
      <c r="B15" s="4" t="s">
        <v>443</v>
      </c>
      <c r="C15" s="8">
        <v>43827</v>
      </c>
      <c r="D15" s="4"/>
      <c r="E15" s="40" t="s">
        <v>491</v>
      </c>
      <c r="F15" s="4">
        <v>4200</v>
      </c>
      <c r="G15" s="4">
        <v>3210</v>
      </c>
      <c r="H15" s="4">
        <v>3660</v>
      </c>
      <c r="I15" s="4">
        <v>250</v>
      </c>
      <c r="J15" s="4"/>
      <c r="K15" s="4"/>
      <c r="L15" s="4">
        <v>10620</v>
      </c>
      <c r="M15" s="4" t="s">
        <v>444</v>
      </c>
    </row>
    <row r="16" spans="1:14" x14ac:dyDescent="0.25">
      <c r="A16" s="48">
        <v>43792</v>
      </c>
      <c r="B16" s="34" t="s">
        <v>522</v>
      </c>
      <c r="C16" s="48">
        <v>44008</v>
      </c>
      <c r="D16" s="36"/>
      <c r="E16" s="36" t="s">
        <v>602</v>
      </c>
      <c r="F16" s="34">
        <v>2880</v>
      </c>
      <c r="G16" s="34">
        <v>3000</v>
      </c>
      <c r="H16" s="34">
        <v>1990</v>
      </c>
      <c r="I16" s="36"/>
      <c r="J16" s="36"/>
      <c r="K16" s="36"/>
      <c r="L16" s="34">
        <v>7870</v>
      </c>
      <c r="M16" s="3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3"/>
  <sheetViews>
    <sheetView topLeftCell="A10" workbookViewId="0"/>
  </sheetViews>
  <sheetFormatPr baseColWidth="10" defaultRowHeight="15" x14ac:dyDescent="0.25"/>
  <sheetData>
    <row r="1" spans="1:13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 t="s">
        <v>270</v>
      </c>
      <c r="L1" s="57" t="s">
        <v>271</v>
      </c>
      <c r="M1" s="61" t="s">
        <v>833</v>
      </c>
    </row>
    <row r="2" spans="1:13" ht="90" x14ac:dyDescent="0.25">
      <c r="A2" s="8">
        <v>43717</v>
      </c>
      <c r="B2" s="4" t="s">
        <v>445</v>
      </c>
      <c r="C2" s="5">
        <v>43778</v>
      </c>
      <c r="D2" s="4"/>
      <c r="E2" s="40" t="s">
        <v>470</v>
      </c>
      <c r="F2" s="4">
        <v>3000</v>
      </c>
      <c r="G2" s="4">
        <v>650</v>
      </c>
      <c r="H2" s="4">
        <v>2870</v>
      </c>
      <c r="I2" s="4"/>
      <c r="J2" s="4"/>
      <c r="K2" s="4">
        <v>5420</v>
      </c>
      <c r="L2" s="4"/>
    </row>
    <row r="3" spans="1:13" ht="75" x14ac:dyDescent="0.25">
      <c r="A3" s="8">
        <v>43722</v>
      </c>
      <c r="B3" s="4" t="s">
        <v>497</v>
      </c>
      <c r="C3" s="5">
        <v>43817</v>
      </c>
      <c r="D3" s="4"/>
      <c r="E3" s="40" t="s">
        <v>448</v>
      </c>
      <c r="F3" s="4">
        <v>2000</v>
      </c>
      <c r="G3" s="4">
        <v>3186</v>
      </c>
      <c r="H3" s="4">
        <v>3186</v>
      </c>
      <c r="I3" s="4"/>
      <c r="J3" s="4"/>
      <c r="K3" s="4">
        <v>10620</v>
      </c>
      <c r="L3" s="4"/>
    </row>
    <row r="4" spans="1:13" x14ac:dyDescent="0.25">
      <c r="A4" s="8">
        <v>43722</v>
      </c>
      <c r="B4" s="4" t="s">
        <v>449</v>
      </c>
      <c r="C4" s="8">
        <v>43806</v>
      </c>
      <c r="D4" s="4"/>
      <c r="E4" s="4" t="s">
        <v>511</v>
      </c>
      <c r="F4" s="4">
        <v>5000</v>
      </c>
      <c r="G4" s="4">
        <v>3700</v>
      </c>
      <c r="H4" s="4">
        <v>3620</v>
      </c>
      <c r="I4" s="4">
        <v>200</v>
      </c>
      <c r="J4" s="4"/>
      <c r="K4" s="4">
        <v>12970</v>
      </c>
      <c r="L4" s="4">
        <v>8131746747</v>
      </c>
    </row>
    <row r="5" spans="1:13" x14ac:dyDescent="0.25">
      <c r="A5" s="8">
        <v>43722</v>
      </c>
      <c r="B5" s="4" t="s">
        <v>450</v>
      </c>
      <c r="C5" s="8">
        <v>43820</v>
      </c>
      <c r="D5" s="4"/>
      <c r="E5" s="4" t="s">
        <v>451</v>
      </c>
      <c r="F5" s="4">
        <v>2400</v>
      </c>
      <c r="G5" s="4">
        <v>1775</v>
      </c>
      <c r="H5" s="4">
        <v>1775</v>
      </c>
      <c r="I5" s="4"/>
      <c r="J5" s="4"/>
      <c r="K5" s="4">
        <v>5950</v>
      </c>
      <c r="L5" s="4"/>
    </row>
    <row r="6" spans="1:13" x14ac:dyDescent="0.25">
      <c r="A6" s="8">
        <v>43724</v>
      </c>
      <c r="B6" s="4" t="s">
        <v>452</v>
      </c>
      <c r="C6" s="4"/>
      <c r="D6" s="4"/>
      <c r="E6" s="4" t="s">
        <v>471</v>
      </c>
      <c r="F6" s="4">
        <v>2628</v>
      </c>
      <c r="G6" s="4">
        <v>400</v>
      </c>
      <c r="H6" s="4">
        <v>4042</v>
      </c>
      <c r="I6" s="4"/>
      <c r="J6" s="4"/>
      <c r="K6" s="4">
        <v>6570</v>
      </c>
      <c r="L6" s="4"/>
    </row>
    <row r="7" spans="1:13" x14ac:dyDescent="0.25">
      <c r="A7" s="8">
        <v>43729</v>
      </c>
      <c r="B7" s="4" t="s">
        <v>456</v>
      </c>
      <c r="C7" s="8">
        <v>43904</v>
      </c>
      <c r="D7" s="4"/>
      <c r="E7" s="4" t="s">
        <v>545</v>
      </c>
      <c r="F7" s="4">
        <v>2000</v>
      </c>
      <c r="G7" s="4">
        <v>7700</v>
      </c>
      <c r="H7" s="4">
        <v>2300</v>
      </c>
      <c r="I7" s="4"/>
      <c r="J7" s="4"/>
      <c r="K7" s="4">
        <v>11900</v>
      </c>
      <c r="L7" s="4">
        <v>8115614675</v>
      </c>
    </row>
    <row r="8" spans="1:13" ht="75" x14ac:dyDescent="0.25">
      <c r="A8" s="8">
        <v>43729</v>
      </c>
      <c r="B8" s="8" t="s">
        <v>458</v>
      </c>
      <c r="C8" s="8">
        <v>43756</v>
      </c>
      <c r="D8" s="4"/>
      <c r="E8" s="40" t="s">
        <v>459</v>
      </c>
      <c r="F8" s="4">
        <v>5000</v>
      </c>
      <c r="G8" s="4">
        <v>1350</v>
      </c>
      <c r="H8" s="4">
        <v>5970</v>
      </c>
      <c r="I8" s="4"/>
      <c r="J8" s="4"/>
      <c r="K8" s="4">
        <v>11570</v>
      </c>
      <c r="L8" s="4">
        <v>8123321996</v>
      </c>
    </row>
    <row r="9" spans="1:13" x14ac:dyDescent="0.25">
      <c r="A9" s="8">
        <v>43729</v>
      </c>
      <c r="B9" s="4" t="s">
        <v>460</v>
      </c>
      <c r="C9" s="8">
        <v>44052</v>
      </c>
      <c r="D9" s="4"/>
      <c r="E9" s="4" t="s">
        <v>739</v>
      </c>
      <c r="F9" s="4">
        <v>4000</v>
      </c>
      <c r="G9" s="4">
        <v>3000</v>
      </c>
      <c r="H9" s="4">
        <v>6000</v>
      </c>
      <c r="I9" s="4">
        <v>2670</v>
      </c>
      <c r="J9" s="4">
        <v>770</v>
      </c>
      <c r="K9" s="4">
        <v>15670</v>
      </c>
      <c r="L9" s="4">
        <v>8112179552</v>
      </c>
    </row>
    <row r="10" spans="1:13" x14ac:dyDescent="0.25">
      <c r="A10" s="8">
        <v>43732</v>
      </c>
      <c r="B10" s="4" t="s">
        <v>464</v>
      </c>
      <c r="C10" s="5">
        <v>43799</v>
      </c>
      <c r="D10" s="4"/>
      <c r="E10" s="4" t="s">
        <v>461</v>
      </c>
      <c r="F10" s="4">
        <v>7655</v>
      </c>
      <c r="G10" s="4">
        <v>1800</v>
      </c>
      <c r="H10" s="4">
        <v>4045</v>
      </c>
      <c r="I10" s="4"/>
      <c r="J10" s="4"/>
      <c r="K10" s="4">
        <v>13500</v>
      </c>
      <c r="L10" s="4"/>
    </row>
    <row r="11" spans="1:13" x14ac:dyDescent="0.25">
      <c r="A11" s="5">
        <v>43735</v>
      </c>
      <c r="B11" s="4" t="s">
        <v>465</v>
      </c>
      <c r="C11" s="5">
        <v>43919</v>
      </c>
      <c r="D11" s="4"/>
      <c r="E11" s="4"/>
      <c r="F11" s="4">
        <v>3000</v>
      </c>
      <c r="G11" s="4">
        <v>2250</v>
      </c>
      <c r="H11" s="4">
        <v>2250</v>
      </c>
      <c r="I11" s="4"/>
      <c r="J11" s="4"/>
      <c r="K11" s="4">
        <v>7500</v>
      </c>
      <c r="L11" s="4">
        <v>8181390073</v>
      </c>
    </row>
    <row r="12" spans="1:13" x14ac:dyDescent="0.25">
      <c r="A12" s="5">
        <v>43736</v>
      </c>
      <c r="B12" s="4" t="s">
        <v>462</v>
      </c>
      <c r="C12" s="5">
        <v>43799</v>
      </c>
      <c r="D12" s="4"/>
      <c r="E12" s="4" t="s">
        <v>466</v>
      </c>
      <c r="F12" s="4" t="s">
        <v>463</v>
      </c>
      <c r="G12" s="4">
        <v>1360</v>
      </c>
      <c r="H12" s="4">
        <v>1460</v>
      </c>
      <c r="I12" s="4"/>
      <c r="J12" s="4"/>
      <c r="K12" s="4">
        <v>5600</v>
      </c>
      <c r="L12" s="4"/>
    </row>
    <row r="13" spans="1:13" x14ac:dyDescent="0.25">
      <c r="A13" s="8">
        <v>43738</v>
      </c>
      <c r="B13" s="4" t="s">
        <v>467</v>
      </c>
      <c r="C13" s="8">
        <v>43764</v>
      </c>
      <c r="D13" s="4"/>
      <c r="E13" s="4" t="s">
        <v>468</v>
      </c>
      <c r="F13" s="4">
        <v>1500</v>
      </c>
      <c r="G13" s="4">
        <v>1500</v>
      </c>
      <c r="H13" s="4">
        <v>2100</v>
      </c>
      <c r="I13" s="4"/>
      <c r="J13" s="4"/>
      <c r="K13" s="4">
        <v>3000</v>
      </c>
      <c r="L13" s="4">
        <v>8130931967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5"/>
  <sheetViews>
    <sheetView topLeftCell="A7" workbookViewId="0"/>
  </sheetViews>
  <sheetFormatPr baseColWidth="10" defaultRowHeight="15" x14ac:dyDescent="0.25"/>
  <sheetData>
    <row r="1" spans="1:14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5</v>
      </c>
      <c r="G1" s="57" t="s">
        <v>6</v>
      </c>
      <c r="H1" s="57" t="s">
        <v>7</v>
      </c>
      <c r="I1" s="57"/>
      <c r="J1" s="57"/>
      <c r="K1" s="57"/>
      <c r="L1" s="57" t="s">
        <v>270</v>
      </c>
      <c r="M1" s="57" t="s">
        <v>271</v>
      </c>
      <c r="N1" s="60" t="s">
        <v>833</v>
      </c>
    </row>
    <row r="2" spans="1:14" ht="75" x14ac:dyDescent="0.25">
      <c r="A2" s="8">
        <v>43743</v>
      </c>
      <c r="B2" s="4" t="s">
        <v>579</v>
      </c>
      <c r="C2" s="5">
        <v>43967</v>
      </c>
      <c r="D2" s="4"/>
      <c r="E2" s="40" t="s">
        <v>472</v>
      </c>
      <c r="F2" s="4">
        <v>4700</v>
      </c>
      <c r="G2" s="4">
        <v>3560</v>
      </c>
      <c r="H2" s="4">
        <v>3560</v>
      </c>
      <c r="I2" s="4"/>
      <c r="J2" s="4"/>
      <c r="K2" s="4"/>
      <c r="L2" s="4">
        <v>11820</v>
      </c>
      <c r="M2" s="4">
        <v>8126257736</v>
      </c>
    </row>
    <row r="3" spans="1:14" x14ac:dyDescent="0.25">
      <c r="A3" s="8">
        <v>43743</v>
      </c>
      <c r="B3" s="4" t="s">
        <v>473</v>
      </c>
      <c r="C3" s="8">
        <v>43806</v>
      </c>
      <c r="D3" s="4"/>
      <c r="E3" s="4" t="s">
        <v>474</v>
      </c>
      <c r="F3" s="4">
        <v>2030</v>
      </c>
      <c r="G3" s="4">
        <v>1500</v>
      </c>
      <c r="H3" s="4">
        <v>1640</v>
      </c>
      <c r="I3" s="4"/>
      <c r="J3" s="4"/>
      <c r="K3" s="4"/>
      <c r="L3" s="4">
        <v>5070</v>
      </c>
      <c r="M3" s="4">
        <v>8123279640</v>
      </c>
    </row>
    <row r="4" spans="1:14" x14ac:dyDescent="0.25">
      <c r="A4" s="8" t="s">
        <v>565</v>
      </c>
      <c r="B4" s="4" t="s">
        <v>477</v>
      </c>
      <c r="C4" s="8">
        <v>43995</v>
      </c>
      <c r="D4" s="4"/>
      <c r="E4" s="4" t="s">
        <v>478</v>
      </c>
      <c r="F4" s="4">
        <v>3800</v>
      </c>
      <c r="G4" s="4">
        <v>2850</v>
      </c>
      <c r="H4" s="4">
        <v>1000</v>
      </c>
      <c r="I4" s="4">
        <v>1950</v>
      </c>
      <c r="J4" s="4"/>
      <c r="K4" s="4"/>
      <c r="L4" s="4">
        <v>9500</v>
      </c>
      <c r="M4" s="4"/>
    </row>
    <row r="5" spans="1:14" x14ac:dyDescent="0.25">
      <c r="A5" s="5">
        <v>43750</v>
      </c>
      <c r="B5" s="4" t="s">
        <v>479</v>
      </c>
      <c r="C5" s="8">
        <v>43946</v>
      </c>
      <c r="D5" s="4"/>
      <c r="E5" s="4" t="s">
        <v>480</v>
      </c>
      <c r="F5" s="4">
        <v>3960</v>
      </c>
      <c r="G5" s="4">
        <v>4000</v>
      </c>
      <c r="H5" s="4">
        <v>1940</v>
      </c>
      <c r="I5" s="4"/>
      <c r="J5" s="4"/>
      <c r="K5" s="4"/>
      <c r="L5" s="4">
        <v>9900</v>
      </c>
      <c r="M5" s="4">
        <v>8117818981</v>
      </c>
    </row>
    <row r="6" spans="1:14" ht="90" x14ac:dyDescent="0.25">
      <c r="A6" s="8" t="s">
        <v>543</v>
      </c>
      <c r="B6" s="4" t="s">
        <v>481</v>
      </c>
      <c r="C6" s="5">
        <v>43573</v>
      </c>
      <c r="D6" s="4"/>
      <c r="E6" s="40" t="s">
        <v>482</v>
      </c>
      <c r="F6" s="4">
        <v>5000</v>
      </c>
      <c r="G6" s="4">
        <v>4000</v>
      </c>
      <c r="H6" s="4">
        <v>4000</v>
      </c>
      <c r="I6" s="4"/>
      <c r="J6" s="4"/>
      <c r="K6" s="4"/>
      <c r="L6" s="4">
        <v>12270</v>
      </c>
      <c r="M6" s="4">
        <v>8110130158</v>
      </c>
    </row>
    <row r="7" spans="1:14" x14ac:dyDescent="0.25">
      <c r="A7" s="8">
        <v>43754</v>
      </c>
      <c r="B7" s="4" t="s">
        <v>484</v>
      </c>
      <c r="C7" s="8">
        <v>43814</v>
      </c>
      <c r="D7" s="4"/>
      <c r="E7" s="4" t="s">
        <v>485</v>
      </c>
      <c r="F7" s="4">
        <v>4550</v>
      </c>
      <c r="G7" s="4">
        <v>100</v>
      </c>
      <c r="H7" s="4">
        <v>4450</v>
      </c>
      <c r="I7" s="4"/>
      <c r="J7" s="4"/>
      <c r="K7" s="4"/>
      <c r="L7" s="4">
        <v>9000</v>
      </c>
      <c r="M7" s="4">
        <v>8115288397</v>
      </c>
    </row>
    <row r="8" spans="1:14" ht="105" x14ac:dyDescent="0.25">
      <c r="A8" s="8" t="s">
        <v>550</v>
      </c>
      <c r="B8" s="4" t="s">
        <v>486</v>
      </c>
      <c r="C8" s="8">
        <v>43829</v>
      </c>
      <c r="D8" s="4"/>
      <c r="E8" s="40" t="s">
        <v>537</v>
      </c>
      <c r="F8" s="4">
        <v>4620</v>
      </c>
      <c r="G8" s="4">
        <v>4035</v>
      </c>
      <c r="H8" s="4">
        <v>140</v>
      </c>
      <c r="I8" s="4">
        <v>3775</v>
      </c>
      <c r="J8" s="4"/>
      <c r="K8" s="4"/>
      <c r="L8" s="4">
        <v>12470</v>
      </c>
      <c r="M8" s="4"/>
    </row>
    <row r="9" spans="1:14" x14ac:dyDescent="0.25">
      <c r="A9" s="8">
        <v>43757</v>
      </c>
      <c r="B9" s="4" t="s">
        <v>487</v>
      </c>
      <c r="C9" s="4"/>
      <c r="D9" s="4"/>
      <c r="E9" s="4" t="s">
        <v>539</v>
      </c>
      <c r="F9" s="4">
        <v>1000</v>
      </c>
      <c r="G9" s="4">
        <v>2980</v>
      </c>
      <c r="H9" s="4">
        <v>4000</v>
      </c>
      <c r="I9" s="4">
        <v>200</v>
      </c>
      <c r="J9" s="4"/>
      <c r="K9" s="4">
        <v>2970</v>
      </c>
      <c r="L9" s="4">
        <v>11150</v>
      </c>
      <c r="M9" s="4">
        <v>8126325920</v>
      </c>
    </row>
    <row r="10" spans="1:14" ht="45" x14ac:dyDescent="0.25">
      <c r="A10" s="8">
        <v>43757</v>
      </c>
      <c r="B10" s="4" t="s">
        <v>488</v>
      </c>
      <c r="C10" s="8">
        <v>43819</v>
      </c>
      <c r="D10" s="4"/>
      <c r="E10" s="40" t="s">
        <v>489</v>
      </c>
      <c r="F10" s="4">
        <v>4400</v>
      </c>
      <c r="G10" s="4">
        <v>6800</v>
      </c>
      <c r="H10" s="4"/>
      <c r="I10" s="4"/>
      <c r="J10" s="4"/>
      <c r="K10" s="4"/>
      <c r="L10" s="4">
        <v>11100</v>
      </c>
      <c r="M10" s="4">
        <v>86711225081</v>
      </c>
    </row>
    <row r="11" spans="1:14" x14ac:dyDescent="0.25">
      <c r="A11" s="8">
        <v>43764</v>
      </c>
      <c r="B11" s="4" t="s">
        <v>490</v>
      </c>
      <c r="C11" s="5">
        <v>43664</v>
      </c>
      <c r="D11" s="4"/>
      <c r="E11" s="4" t="s">
        <v>737</v>
      </c>
      <c r="F11" s="4">
        <v>4000</v>
      </c>
      <c r="G11" s="4">
        <v>3000</v>
      </c>
      <c r="H11" s="4">
        <v>2900</v>
      </c>
      <c r="I11" s="4">
        <v>380</v>
      </c>
      <c r="J11" s="4">
        <v>570</v>
      </c>
      <c r="K11" s="4"/>
      <c r="L11" s="4">
        <v>10850</v>
      </c>
      <c r="M11" s="4">
        <v>8110291469</v>
      </c>
    </row>
    <row r="12" spans="1:14" x14ac:dyDescent="0.25">
      <c r="A12" s="5">
        <v>43764</v>
      </c>
      <c r="B12" s="4" t="s">
        <v>677</v>
      </c>
      <c r="C12" s="8">
        <v>44036</v>
      </c>
      <c r="D12" s="4"/>
      <c r="E12" s="4" t="s">
        <v>749</v>
      </c>
      <c r="F12" s="4">
        <v>3960</v>
      </c>
      <c r="G12" s="4">
        <v>3000</v>
      </c>
      <c r="H12" s="4">
        <v>2940</v>
      </c>
      <c r="I12" s="4">
        <v>220</v>
      </c>
      <c r="J12" s="4">
        <v>1200</v>
      </c>
      <c r="K12" s="4">
        <v>460</v>
      </c>
      <c r="L12" s="4">
        <v>11600</v>
      </c>
      <c r="M12" s="4">
        <v>181727787</v>
      </c>
    </row>
    <row r="13" spans="1:14" x14ac:dyDescent="0.25">
      <c r="A13" s="4" t="s">
        <v>493</v>
      </c>
      <c r="B13" s="4" t="s">
        <v>494</v>
      </c>
      <c r="C13" s="8">
        <v>44044</v>
      </c>
      <c r="D13" s="4"/>
      <c r="E13" s="4" t="s">
        <v>546</v>
      </c>
      <c r="F13" s="4">
        <v>4200</v>
      </c>
      <c r="G13" s="4">
        <v>6370</v>
      </c>
      <c r="H13" s="4"/>
      <c r="I13" s="4"/>
      <c r="J13" s="4"/>
      <c r="K13" s="4"/>
      <c r="L13" s="4">
        <v>10470</v>
      </c>
      <c r="M13" s="4">
        <v>8241069307</v>
      </c>
    </row>
    <row r="14" spans="1:14" x14ac:dyDescent="0.25">
      <c r="A14" s="8">
        <v>43767</v>
      </c>
      <c r="B14" s="4" t="s">
        <v>495</v>
      </c>
      <c r="C14" s="4"/>
      <c r="D14" s="4"/>
      <c r="E14" s="4" t="s">
        <v>496</v>
      </c>
      <c r="F14" s="4">
        <v>4000</v>
      </c>
      <c r="G14" s="4">
        <v>6370</v>
      </c>
      <c r="H14" s="4"/>
      <c r="I14" s="4"/>
      <c r="J14" s="4"/>
      <c r="K14" s="4"/>
      <c r="L14" s="4">
        <v>10370</v>
      </c>
      <c r="M14" s="4">
        <v>8211032981</v>
      </c>
      <c r="N14" t="s">
        <v>400</v>
      </c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23"/>
  <sheetViews>
    <sheetView topLeftCell="A13" workbookViewId="0"/>
  </sheetViews>
  <sheetFormatPr baseColWidth="10" defaultRowHeight="15" x14ac:dyDescent="0.25"/>
  <sheetData>
    <row r="1" spans="1:19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 t="s">
        <v>841</v>
      </c>
      <c r="L1" s="57" t="s">
        <v>842</v>
      </c>
      <c r="M1" s="57" t="s">
        <v>844</v>
      </c>
      <c r="N1" s="57" t="s">
        <v>845</v>
      </c>
      <c r="O1" s="57" t="s">
        <v>846</v>
      </c>
      <c r="P1" s="57"/>
      <c r="Q1" s="57" t="s">
        <v>270</v>
      </c>
      <c r="R1" s="57" t="s">
        <v>271</v>
      </c>
      <c r="S1" s="61" t="s">
        <v>833</v>
      </c>
    </row>
    <row r="2" spans="1:19" x14ac:dyDescent="0.25">
      <c r="A2" s="8">
        <v>43771</v>
      </c>
      <c r="B2" s="4" t="s">
        <v>501</v>
      </c>
      <c r="C2" s="8">
        <v>43953</v>
      </c>
      <c r="D2" s="4"/>
      <c r="E2" s="4" t="s">
        <v>498</v>
      </c>
      <c r="F2" s="4">
        <v>1500</v>
      </c>
      <c r="G2" s="4">
        <v>3100</v>
      </c>
      <c r="H2" s="4">
        <v>3500</v>
      </c>
      <c r="I2" s="4">
        <v>3000</v>
      </c>
      <c r="J2" s="4"/>
      <c r="K2" s="4"/>
      <c r="L2" s="4">
        <v>400</v>
      </c>
      <c r="M2" s="4"/>
      <c r="N2" s="4"/>
      <c r="O2" s="4"/>
      <c r="P2" s="4"/>
      <c r="Q2" s="4">
        <v>11500</v>
      </c>
      <c r="R2" s="4">
        <v>812399586</v>
      </c>
    </row>
    <row r="3" spans="1:19" x14ac:dyDescent="0.25">
      <c r="A3" s="5">
        <v>43775</v>
      </c>
      <c r="B3" s="4" t="s">
        <v>499</v>
      </c>
      <c r="C3" s="5">
        <v>43784</v>
      </c>
      <c r="D3" s="4"/>
      <c r="E3" s="4" t="s">
        <v>186</v>
      </c>
      <c r="F3" s="4">
        <v>1500</v>
      </c>
      <c r="G3" s="4">
        <v>3500</v>
      </c>
      <c r="H3" s="4"/>
      <c r="I3" s="4"/>
      <c r="J3" s="4"/>
      <c r="K3" s="4"/>
      <c r="L3" s="4"/>
      <c r="M3" s="4"/>
      <c r="N3" s="4"/>
      <c r="O3" s="4"/>
      <c r="P3" s="4"/>
      <c r="Q3" s="4">
        <v>5000</v>
      </c>
      <c r="R3" s="4">
        <v>8131019337</v>
      </c>
    </row>
    <row r="4" spans="1:19" x14ac:dyDescent="0.25">
      <c r="A4" s="8">
        <v>43775</v>
      </c>
      <c r="B4" s="4" t="s">
        <v>500</v>
      </c>
      <c r="C4" s="8">
        <v>43918</v>
      </c>
      <c r="D4" s="4"/>
      <c r="E4" s="4" t="s">
        <v>945</v>
      </c>
      <c r="F4" s="4">
        <v>2500</v>
      </c>
      <c r="G4" s="4">
        <v>5000</v>
      </c>
      <c r="H4" s="4">
        <v>3150</v>
      </c>
      <c r="I4" s="4">
        <v>1470</v>
      </c>
      <c r="J4" s="4"/>
      <c r="K4" s="4"/>
      <c r="L4" s="4"/>
      <c r="M4" s="4"/>
      <c r="N4" s="4"/>
      <c r="O4" s="4"/>
      <c r="P4" s="4"/>
      <c r="Q4" s="4">
        <v>12020</v>
      </c>
      <c r="R4" s="4">
        <v>8186838720</v>
      </c>
    </row>
    <row r="5" spans="1:19" x14ac:dyDescent="0.25">
      <c r="A5" s="8">
        <v>43776</v>
      </c>
      <c r="B5" s="4" t="s">
        <v>502</v>
      </c>
      <c r="C5" s="8">
        <v>44031</v>
      </c>
      <c r="D5" s="4"/>
      <c r="E5" s="4" t="s">
        <v>41</v>
      </c>
      <c r="F5" s="4">
        <v>3420</v>
      </c>
      <c r="G5" s="4">
        <v>2565</v>
      </c>
      <c r="H5" s="4">
        <v>2565</v>
      </c>
      <c r="I5" s="4"/>
      <c r="J5" s="4"/>
      <c r="K5" s="4"/>
      <c r="L5" s="4"/>
      <c r="M5" s="4"/>
      <c r="N5" s="4"/>
      <c r="O5" s="4"/>
      <c r="P5" s="4"/>
      <c r="Q5" s="4">
        <v>8550</v>
      </c>
      <c r="R5" s="4">
        <v>8120034843</v>
      </c>
    </row>
    <row r="6" spans="1:19" x14ac:dyDescent="0.25">
      <c r="A6" s="8">
        <v>43777</v>
      </c>
      <c r="B6" s="4" t="s">
        <v>503</v>
      </c>
      <c r="C6" s="53" t="s">
        <v>659</v>
      </c>
      <c r="D6" s="4"/>
      <c r="E6" s="4" t="s">
        <v>658</v>
      </c>
      <c r="F6" s="4">
        <v>4840</v>
      </c>
      <c r="G6" s="4">
        <v>3630</v>
      </c>
      <c r="H6" s="4">
        <v>1000</v>
      </c>
      <c r="I6" s="4">
        <v>2000</v>
      </c>
      <c r="J6" s="4"/>
      <c r="K6" s="4"/>
      <c r="L6" s="4">
        <v>630</v>
      </c>
      <c r="M6" s="4"/>
      <c r="N6" s="4"/>
      <c r="O6" s="4"/>
      <c r="P6" s="4"/>
      <c r="Q6" s="4">
        <v>12100</v>
      </c>
      <c r="R6" s="4">
        <v>8119865827</v>
      </c>
    </row>
    <row r="7" spans="1:19" x14ac:dyDescent="0.25">
      <c r="A7" s="8">
        <v>43783</v>
      </c>
      <c r="B7" s="4" t="s">
        <v>506</v>
      </c>
      <c r="C7" s="8">
        <v>43813</v>
      </c>
      <c r="D7" s="4"/>
      <c r="E7" s="4" t="s">
        <v>507</v>
      </c>
      <c r="F7" s="4">
        <v>2080</v>
      </c>
      <c r="G7" s="4">
        <v>3220</v>
      </c>
      <c r="H7" s="4"/>
      <c r="I7" s="4"/>
      <c r="J7" s="4"/>
      <c r="K7" s="4"/>
      <c r="L7" s="4"/>
      <c r="M7" s="4"/>
      <c r="N7" s="4"/>
      <c r="O7" s="4"/>
      <c r="P7" s="4"/>
      <c r="Q7" s="4">
        <v>5200</v>
      </c>
      <c r="R7" s="4"/>
    </row>
    <row r="8" spans="1:19" x14ac:dyDescent="0.25">
      <c r="A8" s="8">
        <v>43784</v>
      </c>
      <c r="B8" s="4" t="s">
        <v>508</v>
      </c>
      <c r="C8" s="8">
        <v>43811</v>
      </c>
      <c r="D8" s="4"/>
      <c r="E8" s="4" t="s">
        <v>509</v>
      </c>
      <c r="F8" s="4">
        <v>2600</v>
      </c>
      <c r="G8" s="4">
        <v>5050</v>
      </c>
      <c r="H8" s="4">
        <v>250</v>
      </c>
      <c r="I8" s="4"/>
      <c r="J8" s="4"/>
      <c r="K8" s="4"/>
      <c r="L8" s="4"/>
      <c r="M8" s="4"/>
      <c r="N8" s="4"/>
      <c r="O8" s="4"/>
      <c r="P8" s="4"/>
      <c r="Q8" s="4">
        <v>7650</v>
      </c>
      <c r="R8" s="4">
        <v>8123392460</v>
      </c>
    </row>
    <row r="9" spans="1:19" x14ac:dyDescent="0.25">
      <c r="A9" s="8">
        <v>43784</v>
      </c>
      <c r="B9" s="4" t="s">
        <v>510</v>
      </c>
      <c r="C9" s="8">
        <v>43946</v>
      </c>
      <c r="D9" s="4"/>
      <c r="E9" s="4" t="s">
        <v>829</v>
      </c>
      <c r="F9" s="4">
        <v>3000</v>
      </c>
      <c r="G9" s="4">
        <v>4000</v>
      </c>
      <c r="H9" s="4">
        <v>5000</v>
      </c>
      <c r="I9" s="4">
        <v>6200</v>
      </c>
      <c r="J9" s="4">
        <v>700</v>
      </c>
      <c r="K9" s="4">
        <v>1000</v>
      </c>
      <c r="L9" s="4"/>
      <c r="M9" s="4"/>
      <c r="N9" s="4"/>
      <c r="O9" s="4"/>
      <c r="P9" s="4"/>
      <c r="Q9" s="4">
        <v>17400</v>
      </c>
      <c r="R9" s="4">
        <v>811774978</v>
      </c>
    </row>
    <row r="10" spans="1:19" ht="135" x14ac:dyDescent="0.25">
      <c r="A10" s="8">
        <v>43785</v>
      </c>
      <c r="B10" s="4" t="s">
        <v>512</v>
      </c>
      <c r="C10" s="6">
        <v>43983</v>
      </c>
      <c r="D10" s="4"/>
      <c r="E10" s="40" t="s">
        <v>641</v>
      </c>
      <c r="F10" s="4">
        <v>3108</v>
      </c>
      <c r="G10" s="4">
        <v>900</v>
      </c>
      <c r="H10" s="4">
        <v>500</v>
      </c>
      <c r="I10" s="4">
        <v>1000</v>
      </c>
      <c r="J10" s="4"/>
      <c r="K10" s="4"/>
      <c r="L10" s="4">
        <v>500</v>
      </c>
      <c r="M10" s="4">
        <v>1260</v>
      </c>
      <c r="N10" s="4">
        <v>3752</v>
      </c>
      <c r="O10" s="4"/>
      <c r="P10" s="4"/>
      <c r="Q10" s="4">
        <v>10920</v>
      </c>
      <c r="R10" s="4">
        <v>81822067882</v>
      </c>
    </row>
    <row r="11" spans="1:19" x14ac:dyDescent="0.25">
      <c r="A11" s="5">
        <v>43785</v>
      </c>
      <c r="B11" s="4" t="s">
        <v>540</v>
      </c>
      <c r="C11" s="8">
        <v>44127</v>
      </c>
      <c r="D11" s="4"/>
      <c r="E11" s="4" t="s">
        <v>912</v>
      </c>
      <c r="F11" s="34">
        <v>2680</v>
      </c>
      <c r="G11" s="4">
        <v>1000</v>
      </c>
      <c r="H11" s="4">
        <v>3020</v>
      </c>
      <c r="I11" s="4">
        <v>1400</v>
      </c>
      <c r="J11" s="4">
        <v>1400</v>
      </c>
      <c r="K11" s="4">
        <v>1100</v>
      </c>
      <c r="L11" s="4"/>
      <c r="M11" s="4"/>
      <c r="N11" s="4"/>
      <c r="O11" s="4"/>
      <c r="P11" s="4"/>
      <c r="Q11" s="4">
        <v>10600</v>
      </c>
      <c r="R11" s="4"/>
    </row>
    <row r="12" spans="1:19" x14ac:dyDescent="0.25">
      <c r="A12" s="8"/>
      <c r="B12" s="4" t="s">
        <v>628</v>
      </c>
      <c r="C12" s="8">
        <v>44001</v>
      </c>
      <c r="D12" s="4"/>
      <c r="E12" s="4" t="s">
        <v>513</v>
      </c>
      <c r="F12" s="4">
        <v>3100</v>
      </c>
      <c r="G12" s="4">
        <v>1000</v>
      </c>
      <c r="H12" s="4">
        <v>1000</v>
      </c>
      <c r="I12" s="4">
        <v>1000</v>
      </c>
      <c r="J12" s="4"/>
      <c r="K12" s="4"/>
      <c r="L12" s="4">
        <v>1000</v>
      </c>
      <c r="M12" s="4">
        <v>500</v>
      </c>
      <c r="N12" s="4"/>
      <c r="O12" s="4"/>
      <c r="P12" s="4"/>
      <c r="Q12" s="4">
        <v>7650</v>
      </c>
      <c r="R12" s="4">
        <v>8184696051</v>
      </c>
    </row>
    <row r="13" spans="1:19" x14ac:dyDescent="0.25">
      <c r="A13" s="8">
        <v>43785</v>
      </c>
      <c r="B13" s="4" t="s">
        <v>536</v>
      </c>
      <c r="C13" s="4" t="s">
        <v>580</v>
      </c>
      <c r="D13" s="4"/>
      <c r="E13" s="4" t="s">
        <v>514</v>
      </c>
      <c r="F13" s="4">
        <v>2650</v>
      </c>
      <c r="G13" s="4">
        <v>2570</v>
      </c>
      <c r="H13" s="4"/>
      <c r="I13" s="4"/>
      <c r="J13" s="4"/>
      <c r="K13" s="4"/>
      <c r="L13" s="4"/>
      <c r="M13" s="4"/>
      <c r="N13" s="4"/>
      <c r="O13" s="4"/>
      <c r="P13" s="4"/>
      <c r="Q13" s="4">
        <v>5220</v>
      </c>
      <c r="R13" s="4">
        <v>8184696580</v>
      </c>
      <c r="S13" t="s">
        <v>515</v>
      </c>
    </row>
    <row r="14" spans="1:19" x14ac:dyDescent="0.25">
      <c r="A14" s="8">
        <v>43785</v>
      </c>
      <c r="B14" s="4" t="s">
        <v>516</v>
      </c>
      <c r="C14" s="8">
        <v>43982</v>
      </c>
      <c r="D14" s="4"/>
      <c r="E14" s="4" t="s">
        <v>751</v>
      </c>
      <c r="F14" s="4">
        <v>4000</v>
      </c>
      <c r="G14" s="4">
        <v>3000</v>
      </c>
      <c r="H14" s="4">
        <v>2900</v>
      </c>
      <c r="I14" s="4">
        <v>400</v>
      </c>
      <c r="J14" s="4" t="s">
        <v>1879</v>
      </c>
      <c r="K14" s="4"/>
      <c r="L14" s="4"/>
      <c r="M14" s="4"/>
      <c r="N14" s="4"/>
      <c r="O14" s="4"/>
      <c r="P14" s="4"/>
      <c r="Q14" s="4">
        <v>11000</v>
      </c>
      <c r="R14" s="4">
        <v>8121536028</v>
      </c>
    </row>
    <row r="15" spans="1:19" x14ac:dyDescent="0.25">
      <c r="A15" s="8" t="s">
        <v>730</v>
      </c>
      <c r="B15" s="4" t="s">
        <v>517</v>
      </c>
      <c r="C15" s="8">
        <v>44017</v>
      </c>
      <c r="D15" s="4"/>
      <c r="E15" s="4" t="s">
        <v>518</v>
      </c>
      <c r="F15" s="4">
        <v>1425</v>
      </c>
      <c r="G15" s="4">
        <v>1425</v>
      </c>
      <c r="H15" s="4">
        <v>1425</v>
      </c>
      <c r="I15" s="4">
        <v>1425</v>
      </c>
      <c r="J15" s="4"/>
      <c r="K15" s="4"/>
      <c r="L15" s="4">
        <v>1425</v>
      </c>
      <c r="M15" s="4">
        <v>1425</v>
      </c>
      <c r="N15" s="4"/>
      <c r="O15" s="4"/>
      <c r="P15" s="4"/>
      <c r="Q15" s="4">
        <v>8550</v>
      </c>
      <c r="R15" s="4">
        <v>8181035569</v>
      </c>
      <c r="S15" t="s">
        <v>519</v>
      </c>
    </row>
    <row r="16" spans="1:19" x14ac:dyDescent="0.25">
      <c r="A16" s="8">
        <v>43787</v>
      </c>
      <c r="B16" s="4" t="s">
        <v>520</v>
      </c>
      <c r="C16" s="8">
        <v>43953</v>
      </c>
      <c r="D16" s="4"/>
      <c r="E16" s="4" t="s">
        <v>521</v>
      </c>
      <c r="F16" s="4">
        <v>2000</v>
      </c>
      <c r="G16" s="4">
        <v>3000</v>
      </c>
      <c r="H16" s="4">
        <v>2000</v>
      </c>
      <c r="I16" s="4">
        <v>2900</v>
      </c>
      <c r="J16" s="4"/>
      <c r="K16" s="4"/>
      <c r="L16" s="4"/>
      <c r="M16" s="4"/>
      <c r="N16" s="4"/>
      <c r="O16" s="4"/>
      <c r="P16" s="4"/>
      <c r="Q16" s="4">
        <v>9900</v>
      </c>
      <c r="R16" s="4">
        <v>8125943217</v>
      </c>
    </row>
    <row r="17" spans="1:19" x14ac:dyDescent="0.25">
      <c r="A17" s="5">
        <v>43792</v>
      </c>
      <c r="B17" s="4" t="s">
        <v>522</v>
      </c>
      <c r="C17" s="8">
        <v>44008</v>
      </c>
      <c r="D17" s="4"/>
      <c r="E17" s="4" t="s">
        <v>523</v>
      </c>
      <c r="F17" s="4">
        <v>2880</v>
      </c>
      <c r="G17" s="4">
        <v>3000</v>
      </c>
      <c r="H17" s="4">
        <v>1990</v>
      </c>
      <c r="I17" s="4"/>
      <c r="J17" s="4"/>
      <c r="K17" s="4"/>
      <c r="L17" s="4"/>
      <c r="M17" s="4"/>
      <c r="N17" s="4"/>
      <c r="O17" s="4"/>
      <c r="P17" s="4"/>
      <c r="Q17" s="4">
        <v>7200</v>
      </c>
      <c r="R17" s="4"/>
    </row>
    <row r="18" spans="1:19" x14ac:dyDescent="0.25">
      <c r="A18" s="4" t="s">
        <v>524</v>
      </c>
      <c r="B18" s="4" t="s">
        <v>732</v>
      </c>
      <c r="C18" s="6">
        <v>44166</v>
      </c>
      <c r="D18" s="4"/>
      <c r="E18" s="4" t="s">
        <v>949</v>
      </c>
      <c r="F18" s="4">
        <v>2000</v>
      </c>
      <c r="G18" s="4">
        <v>1580</v>
      </c>
      <c r="H18" s="4">
        <v>1580</v>
      </c>
      <c r="I18" s="4">
        <v>1600</v>
      </c>
      <c r="J18" s="4">
        <v>1580</v>
      </c>
      <c r="K18" s="4">
        <v>1560</v>
      </c>
      <c r="L18" s="4">
        <v>840</v>
      </c>
      <c r="M18" s="4">
        <v>1350</v>
      </c>
      <c r="N18" s="4">
        <v>1350</v>
      </c>
      <c r="O18" s="4">
        <v>1520</v>
      </c>
      <c r="P18" s="4">
        <v>350</v>
      </c>
      <c r="Q18" s="4">
        <v>13600</v>
      </c>
      <c r="R18" s="4">
        <v>8180863904</v>
      </c>
    </row>
    <row r="19" spans="1:19" x14ac:dyDescent="0.25">
      <c r="A19" s="8">
        <v>43796</v>
      </c>
      <c r="B19" s="4" t="s">
        <v>698</v>
      </c>
      <c r="C19" s="6">
        <v>44105</v>
      </c>
      <c r="D19" s="4"/>
      <c r="E19" s="4" t="s">
        <v>753</v>
      </c>
      <c r="F19" s="4">
        <v>2000</v>
      </c>
      <c r="G19" s="4">
        <v>1530</v>
      </c>
      <c r="H19" s="4">
        <v>1530</v>
      </c>
      <c r="I19" s="4">
        <v>1530</v>
      </c>
      <c r="J19" s="4"/>
      <c r="K19" s="4"/>
      <c r="L19" s="4">
        <v>3060</v>
      </c>
      <c r="M19" s="4">
        <v>2250</v>
      </c>
      <c r="N19" s="4"/>
      <c r="O19" s="4"/>
      <c r="P19" s="4"/>
      <c r="Q19" s="4">
        <v>11900</v>
      </c>
      <c r="R19" s="4">
        <v>8129343067</v>
      </c>
      <c r="S19" t="s">
        <v>525</v>
      </c>
    </row>
    <row r="20" spans="1:19" ht="60" x14ac:dyDescent="0.25">
      <c r="A20" s="8">
        <v>43799</v>
      </c>
      <c r="B20" s="4" t="s">
        <v>526</v>
      </c>
      <c r="C20" s="8">
        <v>43911</v>
      </c>
      <c r="D20" s="4"/>
      <c r="E20" s="40" t="s">
        <v>527</v>
      </c>
      <c r="F20" s="4">
        <v>3900</v>
      </c>
      <c r="G20" s="4">
        <v>3000</v>
      </c>
      <c r="H20" s="4">
        <v>2570</v>
      </c>
      <c r="I20" s="4"/>
      <c r="J20" s="4"/>
      <c r="K20" s="4"/>
      <c r="L20" s="4"/>
      <c r="M20" s="4"/>
      <c r="N20" s="4"/>
      <c r="O20" s="4"/>
      <c r="P20" s="4"/>
      <c r="Q20" s="4">
        <v>9470</v>
      </c>
      <c r="R20" s="4">
        <v>8114843548</v>
      </c>
    </row>
    <row r="21" spans="1:19" x14ac:dyDescent="0.25">
      <c r="A21" s="8">
        <v>43799</v>
      </c>
      <c r="B21" s="4" t="s">
        <v>643</v>
      </c>
      <c r="C21" s="6">
        <v>44089</v>
      </c>
      <c r="D21" s="4"/>
      <c r="E21" s="4" t="s">
        <v>783</v>
      </c>
      <c r="F21" s="4">
        <v>1800</v>
      </c>
      <c r="G21" s="4">
        <v>1500</v>
      </c>
      <c r="H21" s="4">
        <v>2000</v>
      </c>
      <c r="I21" s="4">
        <v>1500</v>
      </c>
      <c r="J21" s="4">
        <v>2200</v>
      </c>
      <c r="K21" s="4">
        <v>240</v>
      </c>
      <c r="L21" s="4">
        <v>360</v>
      </c>
      <c r="M21" s="4"/>
      <c r="N21" s="4"/>
      <c r="O21" s="4"/>
      <c r="P21" s="4"/>
      <c r="Q21" s="4">
        <v>9600</v>
      </c>
      <c r="R21" s="4">
        <v>8111305020</v>
      </c>
      <c r="S21" t="s">
        <v>528</v>
      </c>
    </row>
    <row r="22" spans="1:19" x14ac:dyDescent="0.25">
      <c r="A22" s="4" t="s">
        <v>529</v>
      </c>
      <c r="B22" s="4" t="s">
        <v>530</v>
      </c>
      <c r="C22" s="4"/>
      <c r="D22" s="4"/>
      <c r="E22" s="4" t="s">
        <v>603</v>
      </c>
      <c r="F22" s="4">
        <v>3400</v>
      </c>
      <c r="G22" s="4">
        <v>3050</v>
      </c>
      <c r="H22" s="4">
        <v>228</v>
      </c>
      <c r="I22" s="4">
        <v>3492</v>
      </c>
      <c r="J22" s="4"/>
      <c r="K22" s="4"/>
      <c r="L22" s="4"/>
      <c r="M22" s="4"/>
      <c r="N22" s="4"/>
      <c r="O22" s="4"/>
      <c r="P22" s="4"/>
      <c r="Q22" s="4">
        <v>10070</v>
      </c>
      <c r="R22" s="4">
        <v>8182067204</v>
      </c>
      <c r="S22" s="51"/>
    </row>
    <row r="23" spans="1:19" x14ac:dyDescent="0.25">
      <c r="A23" s="5">
        <v>43799</v>
      </c>
      <c r="B23" s="4" t="s">
        <v>531</v>
      </c>
      <c r="C23" s="6">
        <v>43952</v>
      </c>
      <c r="D23" s="4"/>
      <c r="E23" s="4" t="s">
        <v>457</v>
      </c>
      <c r="F23" s="4">
        <v>3960</v>
      </c>
      <c r="G23" s="4">
        <v>2970</v>
      </c>
      <c r="H23" s="4">
        <v>2970</v>
      </c>
      <c r="I23" s="4"/>
      <c r="J23" s="4"/>
      <c r="K23" s="4"/>
      <c r="L23" s="4"/>
      <c r="M23" s="4"/>
      <c r="N23" s="4"/>
      <c r="O23" s="4"/>
      <c r="P23" s="4"/>
      <c r="Q23" s="4">
        <v>9900</v>
      </c>
      <c r="R23" s="4">
        <v>8112112663</v>
      </c>
      <c r="S23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5"/>
  <sheetViews>
    <sheetView workbookViewId="0"/>
  </sheetViews>
  <sheetFormatPr baseColWidth="10" defaultRowHeight="15" x14ac:dyDescent="0.25"/>
  <sheetData>
    <row r="1" spans="1:14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5</v>
      </c>
      <c r="G1" s="57" t="s">
        <v>6</v>
      </c>
      <c r="H1" s="57" t="s">
        <v>7</v>
      </c>
      <c r="I1" s="57"/>
      <c r="J1" s="57"/>
      <c r="K1" s="57"/>
      <c r="L1" s="57" t="s">
        <v>270</v>
      </c>
      <c r="M1" s="57" t="s">
        <v>271</v>
      </c>
      <c r="N1" s="56" t="s">
        <v>833</v>
      </c>
    </row>
    <row r="2" spans="1:14" x14ac:dyDescent="0.25">
      <c r="A2" s="5">
        <v>43805</v>
      </c>
      <c r="B2" s="4" t="s">
        <v>532</v>
      </c>
      <c r="C2" s="8">
        <v>43980</v>
      </c>
      <c r="D2" s="4"/>
      <c r="E2" s="4" t="s">
        <v>613</v>
      </c>
      <c r="F2" s="4">
        <v>1300</v>
      </c>
      <c r="G2" s="4">
        <v>1500</v>
      </c>
      <c r="H2" s="4">
        <v>500</v>
      </c>
      <c r="I2" s="4">
        <v>200</v>
      </c>
      <c r="J2" s="4">
        <v>2770</v>
      </c>
      <c r="K2" s="4"/>
      <c r="L2" s="4">
        <v>6170</v>
      </c>
      <c r="M2" s="4"/>
    </row>
    <row r="3" spans="1:14" x14ac:dyDescent="0.25">
      <c r="A3" s="5">
        <v>43806</v>
      </c>
      <c r="B3" s="4" t="s">
        <v>534</v>
      </c>
      <c r="C3" s="8">
        <v>43981</v>
      </c>
      <c r="D3" s="4"/>
      <c r="E3" s="4" t="s">
        <v>535</v>
      </c>
      <c r="F3" s="4">
        <v>700</v>
      </c>
      <c r="G3" s="4">
        <v>400</v>
      </c>
      <c r="H3" s="4">
        <v>400</v>
      </c>
      <c r="I3" s="4" t="s">
        <v>770</v>
      </c>
      <c r="J3" s="4"/>
      <c r="K3" s="4"/>
      <c r="L3" s="4">
        <v>1500</v>
      </c>
      <c r="M3" s="4">
        <v>8127249315</v>
      </c>
    </row>
    <row r="4" spans="1:14" x14ac:dyDescent="0.25">
      <c r="A4" s="8">
        <v>43810</v>
      </c>
      <c r="B4" s="4" t="s">
        <v>542</v>
      </c>
      <c r="C4" s="8">
        <v>43862</v>
      </c>
      <c r="D4" s="4"/>
      <c r="E4" s="4" t="s">
        <v>541</v>
      </c>
      <c r="F4" s="4">
        <v>2000</v>
      </c>
      <c r="G4" s="4">
        <v>2500</v>
      </c>
      <c r="H4" s="4"/>
      <c r="I4" s="4"/>
      <c r="J4" s="4"/>
      <c r="K4" s="4"/>
      <c r="L4" s="4">
        <v>4500</v>
      </c>
      <c r="M4" s="4">
        <v>8121261406</v>
      </c>
    </row>
    <row r="5" spans="1:14" x14ac:dyDescent="0.25">
      <c r="A5" s="8">
        <v>43812</v>
      </c>
      <c r="B5" s="4" t="s">
        <v>544</v>
      </c>
      <c r="C5" s="8">
        <v>43890</v>
      </c>
      <c r="D5" s="4"/>
      <c r="E5" s="4" t="s">
        <v>595</v>
      </c>
      <c r="F5" s="4">
        <v>1400</v>
      </c>
      <c r="G5" s="4">
        <v>2100</v>
      </c>
      <c r="H5" s="4">
        <v>200</v>
      </c>
      <c r="I5" s="4"/>
      <c r="J5" s="4"/>
      <c r="K5" s="4"/>
      <c r="L5" s="4">
        <v>3500</v>
      </c>
      <c r="M5" s="4">
        <v>8128791647</v>
      </c>
    </row>
    <row r="6" spans="1:14" x14ac:dyDescent="0.25">
      <c r="A6" s="8">
        <v>43815</v>
      </c>
      <c r="B6" s="4" t="s">
        <v>547</v>
      </c>
      <c r="C6" s="8">
        <v>43862</v>
      </c>
      <c r="D6" s="4"/>
      <c r="E6" s="4" t="s">
        <v>548</v>
      </c>
      <c r="F6" s="4">
        <v>1000</v>
      </c>
      <c r="G6" s="4">
        <v>1760</v>
      </c>
      <c r="H6" s="4">
        <v>2070</v>
      </c>
      <c r="I6" s="4">
        <v>2170</v>
      </c>
      <c r="J6" s="4"/>
      <c r="K6" s="4"/>
      <c r="L6" s="4">
        <v>6900</v>
      </c>
      <c r="M6" s="4">
        <v>8125988495</v>
      </c>
    </row>
    <row r="7" spans="1:14" x14ac:dyDescent="0.25">
      <c r="A7" s="8">
        <v>43822</v>
      </c>
      <c r="B7" s="4" t="s">
        <v>549</v>
      </c>
      <c r="C7" s="5">
        <v>44086</v>
      </c>
      <c r="D7" s="4"/>
      <c r="E7" s="4" t="s">
        <v>731</v>
      </c>
      <c r="F7" s="4">
        <v>3000</v>
      </c>
      <c r="G7" s="4">
        <v>3000</v>
      </c>
      <c r="H7" s="4" t="s">
        <v>727</v>
      </c>
      <c r="I7" s="4">
        <v>2000</v>
      </c>
      <c r="J7" s="4">
        <v>500</v>
      </c>
      <c r="K7" s="4">
        <v>1100</v>
      </c>
      <c r="L7" s="4">
        <v>10570</v>
      </c>
      <c r="M7" s="4">
        <v>8119536289</v>
      </c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5" spans="1:14" x14ac:dyDescent="0.25">
      <c r="M15" t="s">
        <v>733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2"/>
  <sheetViews>
    <sheetView topLeftCell="A34" workbookViewId="0"/>
  </sheetViews>
  <sheetFormatPr baseColWidth="10" defaultRowHeight="15" x14ac:dyDescent="0.25"/>
  <sheetData>
    <row r="1" spans="1:19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 t="s">
        <v>841</v>
      </c>
      <c r="L1" s="57" t="s">
        <v>842</v>
      </c>
      <c r="M1" s="57"/>
      <c r="N1" s="57"/>
      <c r="O1" s="57"/>
      <c r="P1" s="57" t="s">
        <v>270</v>
      </c>
      <c r="Q1" s="62" t="s">
        <v>271</v>
      </c>
      <c r="R1" s="63" t="s">
        <v>843</v>
      </c>
    </row>
    <row r="2" spans="1:19" ht="75" x14ac:dyDescent="0.25">
      <c r="A2" s="8">
        <v>43834</v>
      </c>
      <c r="B2" s="4" t="s">
        <v>717</v>
      </c>
      <c r="C2" s="5">
        <v>44065</v>
      </c>
      <c r="D2" s="4"/>
      <c r="E2" s="40" t="s">
        <v>718</v>
      </c>
      <c r="F2" s="4">
        <v>6100</v>
      </c>
      <c r="G2" s="4">
        <v>3050</v>
      </c>
      <c r="H2" s="4">
        <v>2300</v>
      </c>
      <c r="I2" s="4">
        <v>2550</v>
      </c>
      <c r="J2" s="4"/>
      <c r="K2" s="4"/>
      <c r="L2" s="4"/>
      <c r="M2" s="4"/>
      <c r="N2" s="4"/>
      <c r="O2" s="4"/>
      <c r="P2" s="4">
        <v>13900</v>
      </c>
      <c r="Q2" s="55">
        <v>8126184315</v>
      </c>
      <c r="R2" s="1"/>
    </row>
    <row r="3" spans="1:19" x14ac:dyDescent="0.25">
      <c r="A3" s="7">
        <v>43839</v>
      </c>
      <c r="B3" s="1" t="s">
        <v>551</v>
      </c>
      <c r="C3" s="2">
        <v>43932</v>
      </c>
      <c r="D3" s="1"/>
      <c r="E3" s="1" t="s">
        <v>186</v>
      </c>
      <c r="F3" s="1">
        <v>1800</v>
      </c>
      <c r="G3" s="1"/>
      <c r="H3" s="1"/>
      <c r="I3" s="1"/>
      <c r="J3" s="1"/>
      <c r="K3" s="1"/>
      <c r="L3" s="1"/>
      <c r="M3" s="1"/>
      <c r="N3" s="1"/>
      <c r="O3" s="1"/>
      <c r="P3" s="1">
        <v>3600</v>
      </c>
      <c r="Q3" s="54">
        <v>8731034434</v>
      </c>
      <c r="R3" s="1" t="s">
        <v>714</v>
      </c>
    </row>
    <row r="4" spans="1:19" ht="60" x14ac:dyDescent="0.25">
      <c r="A4" s="8">
        <v>43840</v>
      </c>
      <c r="B4" s="4" t="s">
        <v>552</v>
      </c>
      <c r="C4" s="8">
        <v>43973</v>
      </c>
      <c r="D4" s="4"/>
      <c r="E4" s="40" t="s">
        <v>553</v>
      </c>
      <c r="F4" s="4">
        <v>2000</v>
      </c>
      <c r="G4" s="4">
        <v>4000</v>
      </c>
      <c r="H4" s="4">
        <v>4000</v>
      </c>
      <c r="I4" s="4">
        <v>2170</v>
      </c>
      <c r="J4" s="4"/>
      <c r="K4" s="4"/>
      <c r="L4" s="4"/>
      <c r="M4" s="4"/>
      <c r="N4" s="4"/>
      <c r="O4" s="4"/>
      <c r="P4" s="4">
        <v>12070</v>
      </c>
      <c r="Q4" s="55">
        <v>8127244552</v>
      </c>
      <c r="R4" s="1"/>
    </row>
    <row r="5" spans="1:19" x14ac:dyDescent="0.25">
      <c r="A5" s="8">
        <v>43840</v>
      </c>
      <c r="B5" s="4" t="s">
        <v>626</v>
      </c>
      <c r="C5" s="8">
        <v>44182</v>
      </c>
      <c r="D5" s="4"/>
      <c r="E5" s="4" t="s">
        <v>1715</v>
      </c>
      <c r="F5" s="4">
        <v>1800</v>
      </c>
      <c r="G5" s="4">
        <v>1710</v>
      </c>
      <c r="H5" s="4">
        <v>1710</v>
      </c>
      <c r="I5" s="4">
        <v>1710</v>
      </c>
      <c r="J5" s="4">
        <v>1710</v>
      </c>
      <c r="K5" s="4">
        <v>1710</v>
      </c>
      <c r="L5" s="4">
        <v>300</v>
      </c>
      <c r="M5" s="4" t="s">
        <v>1802</v>
      </c>
      <c r="N5" s="4"/>
      <c r="O5" s="4"/>
      <c r="P5" s="4">
        <v>11850</v>
      </c>
      <c r="Q5" s="55">
        <v>8125678516</v>
      </c>
      <c r="R5" s="1"/>
    </row>
    <row r="6" spans="1:19" x14ac:dyDescent="0.25">
      <c r="A6" s="8">
        <v>43840</v>
      </c>
      <c r="B6" s="4" t="s">
        <v>615</v>
      </c>
      <c r="C6" s="5">
        <v>44157</v>
      </c>
      <c r="D6" s="4"/>
      <c r="E6" s="4" t="s">
        <v>913</v>
      </c>
      <c r="F6" s="4">
        <v>1920</v>
      </c>
      <c r="G6" s="4">
        <v>1540</v>
      </c>
      <c r="H6" s="4">
        <v>1500</v>
      </c>
      <c r="I6" s="4">
        <v>1600</v>
      </c>
      <c r="J6" s="4">
        <v>3040</v>
      </c>
      <c r="K6" s="4">
        <v>1350</v>
      </c>
      <c r="L6" s="4">
        <v>240</v>
      </c>
      <c r="M6" s="4">
        <v>450</v>
      </c>
      <c r="N6" s="4"/>
      <c r="O6" s="4"/>
      <c r="P6" s="4">
        <v>12000</v>
      </c>
      <c r="Q6" s="55">
        <v>8127246340</v>
      </c>
      <c r="R6" s="1"/>
    </row>
    <row r="7" spans="1:19" x14ac:dyDescent="0.25">
      <c r="A7" s="8">
        <v>43841</v>
      </c>
      <c r="B7" s="4" t="s">
        <v>663</v>
      </c>
      <c r="C7" s="6">
        <v>43983</v>
      </c>
      <c r="D7" s="4"/>
      <c r="E7" s="4" t="s">
        <v>554</v>
      </c>
      <c r="F7" s="4">
        <v>500</v>
      </c>
      <c r="G7" s="4">
        <v>3500</v>
      </c>
      <c r="H7" s="4">
        <v>3000</v>
      </c>
      <c r="I7" s="4">
        <v>3000</v>
      </c>
      <c r="J7" s="4"/>
      <c r="K7" s="4"/>
      <c r="L7" s="4"/>
      <c r="M7" s="4"/>
      <c r="N7" s="4"/>
      <c r="O7" s="4"/>
      <c r="P7" s="4">
        <v>9900</v>
      </c>
      <c r="Q7" s="55">
        <v>8123597090</v>
      </c>
      <c r="R7" s="1" t="s">
        <v>757</v>
      </c>
    </row>
    <row r="8" spans="1:19" x14ac:dyDescent="0.25">
      <c r="A8" s="8">
        <v>43841</v>
      </c>
      <c r="B8" s="4" t="s">
        <v>555</v>
      </c>
      <c r="C8" s="4" t="s">
        <v>556</v>
      </c>
      <c r="D8" s="4"/>
      <c r="E8" s="4" t="s">
        <v>557</v>
      </c>
      <c r="F8" s="4">
        <v>4280</v>
      </c>
      <c r="G8" s="4">
        <v>560</v>
      </c>
      <c r="H8" s="4">
        <v>3670</v>
      </c>
      <c r="I8" s="4">
        <v>3590</v>
      </c>
      <c r="J8" s="4">
        <v>100</v>
      </c>
      <c r="K8" s="4"/>
      <c r="L8" s="4"/>
      <c r="M8" s="4"/>
      <c r="N8" s="4"/>
      <c r="O8" s="4"/>
      <c r="P8" s="4">
        <v>12100</v>
      </c>
      <c r="Q8" s="55">
        <v>8112519287</v>
      </c>
      <c r="R8" s="1"/>
    </row>
    <row r="9" spans="1:19" x14ac:dyDescent="0.25">
      <c r="A9" s="8">
        <v>43841</v>
      </c>
      <c r="B9" s="4" t="s">
        <v>558</v>
      </c>
      <c r="C9" s="5">
        <v>43853</v>
      </c>
      <c r="D9" s="4"/>
      <c r="E9" s="4" t="s">
        <v>170</v>
      </c>
      <c r="F9" s="4">
        <v>1600</v>
      </c>
      <c r="G9" s="4">
        <v>3000</v>
      </c>
      <c r="H9" s="4"/>
      <c r="I9" s="4"/>
      <c r="J9" s="4"/>
      <c r="K9" s="4"/>
      <c r="L9" s="4"/>
      <c r="M9" s="4"/>
      <c r="N9" s="4"/>
      <c r="O9" s="4"/>
      <c r="P9" s="4">
        <v>2600</v>
      </c>
      <c r="Q9" s="55">
        <v>8182598360</v>
      </c>
      <c r="R9" s="1"/>
    </row>
    <row r="10" spans="1:19" ht="120" x14ac:dyDescent="0.25">
      <c r="A10" s="8">
        <v>43841</v>
      </c>
      <c r="B10" s="4" t="s">
        <v>559</v>
      </c>
      <c r="C10" s="6">
        <v>44136</v>
      </c>
      <c r="D10" s="4"/>
      <c r="E10" s="40" t="s">
        <v>919</v>
      </c>
      <c r="F10" s="4">
        <v>2770</v>
      </c>
      <c r="G10" s="4">
        <v>2000</v>
      </c>
      <c r="H10" s="4">
        <v>2000</v>
      </c>
      <c r="I10" s="4">
        <v>2000</v>
      </c>
      <c r="J10" s="4">
        <v>5350</v>
      </c>
      <c r="K10" s="4">
        <v>160</v>
      </c>
      <c r="L10" s="4" t="s">
        <v>920</v>
      </c>
      <c r="M10" s="4"/>
      <c r="N10" s="4"/>
      <c r="O10" s="4"/>
      <c r="P10" s="4">
        <v>15120</v>
      </c>
      <c r="Q10" s="55">
        <v>8124419296</v>
      </c>
      <c r="R10" s="1"/>
    </row>
    <row r="11" spans="1:19" x14ac:dyDescent="0.25">
      <c r="A11" s="8">
        <v>43841</v>
      </c>
      <c r="B11" s="4" t="s">
        <v>627</v>
      </c>
      <c r="C11" s="5">
        <v>44016</v>
      </c>
      <c r="D11" s="4"/>
      <c r="E11" s="4" t="s">
        <v>665</v>
      </c>
      <c r="F11" s="4">
        <v>800</v>
      </c>
      <c r="G11" s="4">
        <v>3000</v>
      </c>
      <c r="H11" s="4">
        <v>250</v>
      </c>
      <c r="I11" s="4">
        <v>250</v>
      </c>
      <c r="J11" s="4">
        <v>3000</v>
      </c>
      <c r="K11" s="4">
        <v>2300</v>
      </c>
      <c r="L11" s="4"/>
      <c r="M11" s="4"/>
      <c r="N11" s="4"/>
      <c r="O11" s="4"/>
      <c r="P11" s="4">
        <v>9500</v>
      </c>
      <c r="Q11" s="55">
        <v>8180236741</v>
      </c>
      <c r="R11" s="1"/>
    </row>
    <row r="12" spans="1:19" x14ac:dyDescent="0.25">
      <c r="A12" s="8">
        <v>43841</v>
      </c>
      <c r="B12" s="4" t="s">
        <v>560</v>
      </c>
      <c r="C12" s="4" t="s">
        <v>229</v>
      </c>
      <c r="D12" s="4"/>
      <c r="E12" s="4" t="s">
        <v>887</v>
      </c>
      <c r="F12" s="4">
        <v>2500</v>
      </c>
      <c r="G12" s="4">
        <v>2000</v>
      </c>
      <c r="H12" s="4">
        <v>3500</v>
      </c>
      <c r="I12" s="4">
        <v>4500</v>
      </c>
      <c r="J12" s="4">
        <v>350</v>
      </c>
      <c r="K12" s="4"/>
      <c r="L12" s="4"/>
      <c r="M12" s="4"/>
      <c r="N12" s="4"/>
      <c r="O12" s="4"/>
      <c r="P12" s="4">
        <v>12750</v>
      </c>
      <c r="Q12" s="55">
        <v>8184646468</v>
      </c>
      <c r="R12" s="1"/>
    </row>
    <row r="13" spans="1:19" x14ac:dyDescent="0.25">
      <c r="A13" s="8">
        <v>43841</v>
      </c>
      <c r="B13" s="4" t="s">
        <v>562</v>
      </c>
      <c r="C13" s="5">
        <v>43910</v>
      </c>
      <c r="D13" s="4"/>
      <c r="E13" s="4" t="s">
        <v>691</v>
      </c>
      <c r="F13" s="4">
        <v>4000</v>
      </c>
      <c r="G13" s="4">
        <v>6000</v>
      </c>
      <c r="H13" s="4">
        <v>950</v>
      </c>
      <c r="I13" s="4"/>
      <c r="J13" s="4"/>
      <c r="K13" s="4"/>
      <c r="L13" s="4"/>
      <c r="M13" s="4"/>
      <c r="N13" s="4"/>
      <c r="O13" s="4"/>
      <c r="P13" s="4">
        <v>10000</v>
      </c>
      <c r="Q13" s="55">
        <v>8123099271</v>
      </c>
      <c r="R13" s="1"/>
    </row>
    <row r="14" spans="1:19" x14ac:dyDescent="0.25">
      <c r="A14" s="8">
        <v>43841</v>
      </c>
      <c r="B14" s="4" t="s">
        <v>644</v>
      </c>
      <c r="C14" s="8">
        <v>44351</v>
      </c>
      <c r="D14" s="4"/>
      <c r="E14" s="4" t="s">
        <v>898</v>
      </c>
      <c r="F14" s="4">
        <v>2070</v>
      </c>
      <c r="G14" s="4">
        <v>1650</v>
      </c>
      <c r="H14" s="4">
        <v>4000</v>
      </c>
      <c r="I14" s="4">
        <v>2630</v>
      </c>
      <c r="J14" s="4">
        <v>1800</v>
      </c>
      <c r="K14" s="4">
        <v>300</v>
      </c>
      <c r="L14" s="4">
        <v>550</v>
      </c>
      <c r="M14" s="4"/>
      <c r="N14" s="4"/>
      <c r="O14" s="4"/>
      <c r="P14" s="4">
        <v>12900</v>
      </c>
      <c r="Q14" s="55">
        <v>8120349250</v>
      </c>
      <c r="R14" s="51" t="s">
        <v>817</v>
      </c>
      <c r="S14" s="15"/>
    </row>
    <row r="15" spans="1:19" x14ac:dyDescent="0.25">
      <c r="A15" s="8">
        <v>43841</v>
      </c>
      <c r="B15" s="4" t="s">
        <v>563</v>
      </c>
      <c r="C15" s="5">
        <v>44009</v>
      </c>
      <c r="D15" s="4"/>
      <c r="E15" s="4" t="s">
        <v>822</v>
      </c>
      <c r="F15" s="4">
        <v>1800</v>
      </c>
      <c r="G15" s="4">
        <v>1800</v>
      </c>
      <c r="H15" s="4">
        <v>1500</v>
      </c>
      <c r="I15" s="4">
        <v>1000</v>
      </c>
      <c r="J15" s="4">
        <v>1000</v>
      </c>
      <c r="K15" s="4">
        <v>150</v>
      </c>
      <c r="L15" s="4"/>
      <c r="M15" s="4"/>
      <c r="N15" s="4"/>
      <c r="O15" s="4"/>
      <c r="P15" s="4">
        <v>9000</v>
      </c>
      <c r="Q15" s="55">
        <v>8112819637</v>
      </c>
      <c r="R15" s="1"/>
    </row>
    <row r="16" spans="1:19" x14ac:dyDescent="0.25">
      <c r="A16" s="8">
        <v>43843</v>
      </c>
      <c r="B16" s="4" t="s">
        <v>625</v>
      </c>
      <c r="C16" s="8">
        <v>43981</v>
      </c>
      <c r="D16" s="4"/>
      <c r="E16" s="4" t="s">
        <v>457</v>
      </c>
      <c r="F16" s="4">
        <v>3960</v>
      </c>
      <c r="G16" s="4">
        <v>2970</v>
      </c>
      <c r="H16" s="4">
        <v>2970</v>
      </c>
      <c r="I16" s="4"/>
      <c r="J16" s="4"/>
      <c r="K16" s="4"/>
      <c r="L16" s="4"/>
      <c r="M16" s="4"/>
      <c r="N16" s="4"/>
      <c r="O16" s="4"/>
      <c r="P16" s="4">
        <v>9900</v>
      </c>
      <c r="Q16" s="55"/>
      <c r="R16" s="1"/>
    </row>
    <row r="17" spans="1:18" x14ac:dyDescent="0.25">
      <c r="A17" s="8">
        <v>43845</v>
      </c>
      <c r="B17" s="4" t="s">
        <v>564</v>
      </c>
      <c r="C17" s="6">
        <v>44166</v>
      </c>
      <c r="D17" s="4"/>
      <c r="E17" s="4" t="s">
        <v>959</v>
      </c>
      <c r="F17" s="4">
        <v>1850</v>
      </c>
      <c r="G17" s="4">
        <v>1850</v>
      </c>
      <c r="H17" s="4">
        <v>1500</v>
      </c>
      <c r="I17" s="4">
        <v>1900</v>
      </c>
      <c r="J17" s="4">
        <v>1620</v>
      </c>
      <c r="K17" s="4">
        <v>150</v>
      </c>
      <c r="L17" s="4">
        <v>300</v>
      </c>
      <c r="M17" s="4"/>
      <c r="N17" s="4"/>
      <c r="O17" s="4"/>
      <c r="P17" s="4">
        <v>9470</v>
      </c>
      <c r="Q17" s="55"/>
      <c r="R17" s="1"/>
    </row>
    <row r="18" spans="1:18" x14ac:dyDescent="0.25">
      <c r="A18" s="48">
        <v>43845</v>
      </c>
      <c r="B18" s="34" t="s">
        <v>633</v>
      </c>
      <c r="C18" s="64" t="s">
        <v>868</v>
      </c>
      <c r="D18" s="36"/>
      <c r="E18" s="34" t="s">
        <v>991</v>
      </c>
      <c r="F18" s="34">
        <v>1800</v>
      </c>
      <c r="G18" s="34">
        <v>1500</v>
      </c>
      <c r="H18" s="34">
        <v>1500</v>
      </c>
      <c r="I18" s="36">
        <v>1500</v>
      </c>
      <c r="J18" s="36">
        <v>1500</v>
      </c>
      <c r="K18" s="36">
        <v>1200</v>
      </c>
      <c r="L18" s="36">
        <v>1200</v>
      </c>
      <c r="M18" s="36">
        <v>800</v>
      </c>
      <c r="N18" s="36"/>
      <c r="O18" s="36"/>
      <c r="P18" s="34">
        <v>9800</v>
      </c>
      <c r="Q18" s="55">
        <v>8128787449</v>
      </c>
      <c r="R18" s="1" t="s">
        <v>869</v>
      </c>
    </row>
    <row r="19" spans="1:18" x14ac:dyDescent="0.25">
      <c r="A19" s="8">
        <v>43847</v>
      </c>
      <c r="B19" s="4" t="s">
        <v>566</v>
      </c>
      <c r="C19" s="6">
        <v>44013</v>
      </c>
      <c r="D19" s="4"/>
      <c r="E19" s="4" t="s">
        <v>567</v>
      </c>
      <c r="F19" s="4">
        <v>1000</v>
      </c>
      <c r="G19" s="4">
        <v>1500</v>
      </c>
      <c r="H19" s="4">
        <v>1000</v>
      </c>
      <c r="I19" s="4">
        <v>500</v>
      </c>
      <c r="J19" s="4">
        <v>1000</v>
      </c>
      <c r="K19" s="4">
        <v>4100</v>
      </c>
      <c r="L19" s="4"/>
      <c r="M19" s="4"/>
      <c r="N19" s="4"/>
      <c r="O19" s="4"/>
      <c r="P19" s="4">
        <v>9000</v>
      </c>
      <c r="Q19" s="55">
        <v>8120775456</v>
      </c>
      <c r="R19" s="1"/>
    </row>
    <row r="20" spans="1:18" x14ac:dyDescent="0.25">
      <c r="A20" s="8">
        <v>43847</v>
      </c>
      <c r="B20" s="4" t="s">
        <v>704</v>
      </c>
      <c r="C20" s="6">
        <v>44013</v>
      </c>
      <c r="D20" s="4"/>
      <c r="E20" s="4" t="s">
        <v>568</v>
      </c>
      <c r="F20" s="4">
        <v>1440</v>
      </c>
      <c r="G20" s="4">
        <v>1000</v>
      </c>
      <c r="H20" s="4">
        <v>1500</v>
      </c>
      <c r="I20" s="4">
        <v>2260</v>
      </c>
      <c r="J20" s="4">
        <v>1140</v>
      </c>
      <c r="K20" s="4"/>
      <c r="L20" s="4"/>
      <c r="M20" s="4"/>
      <c r="N20" s="4"/>
      <c r="O20" s="4"/>
      <c r="P20" s="4">
        <v>7200</v>
      </c>
      <c r="Q20" s="55">
        <v>8184033228</v>
      </c>
      <c r="R20" s="4"/>
    </row>
    <row r="21" spans="1:18" x14ac:dyDescent="0.25">
      <c r="A21" s="8">
        <v>43847</v>
      </c>
      <c r="B21" s="4" t="s">
        <v>569</v>
      </c>
      <c r="C21" s="6">
        <v>43891</v>
      </c>
      <c r="D21" s="4"/>
      <c r="E21" s="4" t="s">
        <v>599</v>
      </c>
      <c r="F21" s="4">
        <v>4000</v>
      </c>
      <c r="G21" s="4">
        <v>850</v>
      </c>
      <c r="H21" s="4">
        <v>293</v>
      </c>
      <c r="I21" s="4">
        <v>4000</v>
      </c>
      <c r="J21" s="4">
        <v>4597</v>
      </c>
      <c r="K21" s="4"/>
      <c r="L21" s="4"/>
      <c r="M21" s="4"/>
      <c r="N21" s="4"/>
      <c r="O21" s="4"/>
      <c r="P21" s="4">
        <v>13360</v>
      </c>
      <c r="Q21" s="55">
        <v>8126386172</v>
      </c>
      <c r="R21" s="1"/>
    </row>
    <row r="22" spans="1:18" x14ac:dyDescent="0.25">
      <c r="A22" s="8">
        <v>43847</v>
      </c>
      <c r="B22" s="4" t="s">
        <v>570</v>
      </c>
      <c r="C22" s="6">
        <v>47077</v>
      </c>
      <c r="D22" s="4"/>
      <c r="E22" s="4" t="s">
        <v>571</v>
      </c>
      <c r="F22" s="4">
        <v>1000</v>
      </c>
      <c r="G22" s="4">
        <v>800</v>
      </c>
      <c r="H22" s="4"/>
      <c r="I22" s="4">
        <v>500</v>
      </c>
      <c r="J22" s="4">
        <v>1000</v>
      </c>
      <c r="K22" s="4">
        <v>500</v>
      </c>
      <c r="L22" s="4">
        <v>500</v>
      </c>
      <c r="M22" s="4">
        <v>2000</v>
      </c>
      <c r="N22" s="4">
        <v>2600</v>
      </c>
      <c r="O22" s="4"/>
      <c r="P22" s="4">
        <v>9000</v>
      </c>
      <c r="Q22" s="55">
        <v>8119770430</v>
      </c>
      <c r="R22" s="1"/>
    </row>
    <row r="23" spans="1:18" x14ac:dyDescent="0.25">
      <c r="A23" s="8">
        <v>43848</v>
      </c>
      <c r="B23" s="4" t="s">
        <v>572</v>
      </c>
      <c r="C23" s="6">
        <v>43891</v>
      </c>
      <c r="D23" s="4"/>
      <c r="E23" s="4" t="s">
        <v>548</v>
      </c>
      <c r="F23" s="4">
        <v>4000</v>
      </c>
      <c r="G23" s="4">
        <v>2050</v>
      </c>
      <c r="H23" s="4"/>
      <c r="I23" s="4"/>
      <c r="J23" s="4"/>
      <c r="K23" s="4"/>
      <c r="L23" s="4"/>
      <c r="M23" s="4"/>
      <c r="N23" s="4"/>
      <c r="O23" s="4"/>
      <c r="P23" s="4">
        <v>5950</v>
      </c>
      <c r="Q23" s="55">
        <v>8117493305</v>
      </c>
      <c r="R23" s="1"/>
    </row>
    <row r="24" spans="1:18" x14ac:dyDescent="0.25">
      <c r="A24" s="8">
        <v>43848</v>
      </c>
      <c r="B24" s="4" t="s">
        <v>573</v>
      </c>
      <c r="C24" s="6">
        <v>43983</v>
      </c>
      <c r="D24" s="4"/>
      <c r="E24" s="4" t="s">
        <v>574</v>
      </c>
      <c r="F24" s="4">
        <v>3000</v>
      </c>
      <c r="G24" s="4">
        <v>1000</v>
      </c>
      <c r="H24" s="4">
        <v>1000</v>
      </c>
      <c r="I24" s="4">
        <v>3970</v>
      </c>
      <c r="J24" s="4"/>
      <c r="K24" s="4"/>
      <c r="L24" s="4"/>
      <c r="M24" s="4"/>
      <c r="N24" s="4"/>
      <c r="O24" s="4"/>
      <c r="P24" s="4">
        <v>8870</v>
      </c>
      <c r="Q24" s="55">
        <v>8117806188</v>
      </c>
      <c r="R24" s="1"/>
    </row>
    <row r="25" spans="1:18" x14ac:dyDescent="0.25">
      <c r="A25" s="8">
        <v>43848</v>
      </c>
      <c r="B25" s="4" t="s">
        <v>576</v>
      </c>
      <c r="C25" s="6">
        <v>44287</v>
      </c>
      <c r="D25" s="4"/>
      <c r="E25" s="4" t="s">
        <v>780</v>
      </c>
      <c r="F25" s="4">
        <v>1800</v>
      </c>
      <c r="G25" s="4">
        <v>5000</v>
      </c>
      <c r="H25" s="4">
        <v>1000</v>
      </c>
      <c r="I25" s="4">
        <v>3300</v>
      </c>
      <c r="J25" s="4">
        <v>100</v>
      </c>
      <c r="K25" s="4"/>
      <c r="L25" s="4"/>
      <c r="M25" s="4"/>
      <c r="N25" s="4"/>
      <c r="O25" s="4"/>
      <c r="P25" s="4">
        <v>11100</v>
      </c>
      <c r="Q25" s="55">
        <v>8110823871</v>
      </c>
      <c r="R25" s="1" t="s">
        <v>860</v>
      </c>
    </row>
    <row r="26" spans="1:18" x14ac:dyDescent="0.25">
      <c r="A26" s="8" t="s">
        <v>740</v>
      </c>
      <c r="B26" s="4" t="s">
        <v>576</v>
      </c>
      <c r="C26" s="5">
        <v>44112</v>
      </c>
      <c r="D26" s="4"/>
      <c r="E26" s="4" t="s">
        <v>1240</v>
      </c>
      <c r="F26" s="4">
        <v>2500</v>
      </c>
      <c r="G26" s="4">
        <v>1900</v>
      </c>
      <c r="H26" s="4">
        <v>3000</v>
      </c>
      <c r="I26" s="4">
        <v>2500</v>
      </c>
      <c r="J26" s="4">
        <v>970</v>
      </c>
      <c r="K26" s="4" t="s">
        <v>1241</v>
      </c>
      <c r="L26" s="4">
        <v>1500</v>
      </c>
      <c r="M26" s="4">
        <v>400</v>
      </c>
      <c r="N26" s="4"/>
      <c r="O26" s="4"/>
      <c r="P26" s="4">
        <v>10770</v>
      </c>
      <c r="Q26" s="55">
        <v>8182580053</v>
      </c>
      <c r="R26" s="51"/>
    </row>
    <row r="27" spans="1:18" x14ac:dyDescent="0.25">
      <c r="A27" s="8">
        <v>11100</v>
      </c>
      <c r="B27" s="4" t="s">
        <v>577</v>
      </c>
      <c r="C27" s="6">
        <v>43952</v>
      </c>
      <c r="D27" s="4"/>
      <c r="E27" s="4" t="s">
        <v>720</v>
      </c>
      <c r="F27" s="4">
        <v>2000</v>
      </c>
      <c r="G27" s="4">
        <v>2000</v>
      </c>
      <c r="H27" s="4">
        <v>2000</v>
      </c>
      <c r="I27" s="4">
        <v>3150</v>
      </c>
      <c r="J27" s="4">
        <v>2050</v>
      </c>
      <c r="K27" s="4"/>
      <c r="L27" s="4"/>
      <c r="M27" s="4"/>
      <c r="N27" s="4"/>
      <c r="O27" s="4"/>
      <c r="P27" s="4">
        <v>11100</v>
      </c>
      <c r="Q27" s="55">
        <v>8180940186</v>
      </c>
      <c r="R27" s="1"/>
    </row>
    <row r="28" spans="1:18" x14ac:dyDescent="0.25">
      <c r="A28" s="8">
        <v>43848</v>
      </c>
      <c r="B28" s="4" t="s">
        <v>578</v>
      </c>
      <c r="C28" s="5">
        <v>44114</v>
      </c>
      <c r="D28" s="4"/>
      <c r="E28" s="4" t="s">
        <v>1000</v>
      </c>
      <c r="F28" s="4">
        <v>1000</v>
      </c>
      <c r="G28" s="4">
        <v>2060</v>
      </c>
      <c r="H28" s="4">
        <v>1400</v>
      </c>
      <c r="I28" s="4">
        <v>1200</v>
      </c>
      <c r="J28" s="4">
        <v>1000</v>
      </c>
      <c r="K28" s="4">
        <v>2690</v>
      </c>
      <c r="L28" s="4">
        <v>450</v>
      </c>
      <c r="M28" s="4"/>
      <c r="N28" s="4"/>
      <c r="O28" s="4"/>
      <c r="P28" s="4">
        <v>9800</v>
      </c>
      <c r="Q28" s="55">
        <v>8110023555</v>
      </c>
      <c r="R28" s="1"/>
    </row>
    <row r="29" spans="1:18" x14ac:dyDescent="0.25">
      <c r="A29" s="8" t="s">
        <v>742</v>
      </c>
      <c r="B29" s="4" t="s">
        <v>582</v>
      </c>
      <c r="C29" s="8">
        <v>43984</v>
      </c>
      <c r="D29" s="4"/>
      <c r="E29" s="4" t="s">
        <v>741</v>
      </c>
      <c r="F29" s="4">
        <v>3000</v>
      </c>
      <c r="G29" s="4">
        <v>2120</v>
      </c>
      <c r="H29" s="4">
        <v>3834</v>
      </c>
      <c r="I29" s="4">
        <v>3834</v>
      </c>
      <c r="J29" s="4">
        <v>320</v>
      </c>
      <c r="K29" s="4">
        <v>480</v>
      </c>
      <c r="L29" s="4"/>
      <c r="M29" s="4"/>
      <c r="N29" s="4"/>
      <c r="O29" s="4"/>
      <c r="P29" s="4">
        <v>13580</v>
      </c>
      <c r="Q29" s="55">
        <v>8117962343</v>
      </c>
      <c r="R29" s="1"/>
    </row>
    <row r="30" spans="1:18" x14ac:dyDescent="0.25">
      <c r="A30" s="8">
        <v>43854</v>
      </c>
      <c r="B30" s="4" t="s">
        <v>708</v>
      </c>
      <c r="C30" s="6">
        <v>44166</v>
      </c>
      <c r="D30" s="4"/>
      <c r="E30" s="4" t="s">
        <v>1150</v>
      </c>
      <c r="F30" s="4">
        <v>1600</v>
      </c>
      <c r="G30" s="4">
        <v>1300</v>
      </c>
      <c r="H30" s="4">
        <v>1300</v>
      </c>
      <c r="I30" s="4">
        <v>1300</v>
      </c>
      <c r="J30" s="4">
        <v>1300</v>
      </c>
      <c r="K30" s="4">
        <v>1300</v>
      </c>
      <c r="L30" s="4" t="s">
        <v>1657</v>
      </c>
      <c r="M30" s="4" t="s">
        <v>1724</v>
      </c>
      <c r="N30" s="4" t="s">
        <v>1795</v>
      </c>
      <c r="O30" s="4" t="s">
        <v>1828</v>
      </c>
      <c r="P30" s="4">
        <v>15300</v>
      </c>
      <c r="Q30" s="55">
        <v>8124691192</v>
      </c>
      <c r="R30" s="4"/>
    </row>
    <row r="31" spans="1:18" x14ac:dyDescent="0.25">
      <c r="A31" s="33">
        <v>43854</v>
      </c>
      <c r="B31" s="10" t="s">
        <v>583</v>
      </c>
      <c r="C31" s="44">
        <v>44013</v>
      </c>
      <c r="D31" s="10"/>
      <c r="E31" s="10" t="s">
        <v>584</v>
      </c>
      <c r="F31" s="10">
        <v>900</v>
      </c>
      <c r="G31" s="10" t="s">
        <v>721</v>
      </c>
      <c r="H31" s="10"/>
      <c r="I31" s="10"/>
      <c r="J31" s="10"/>
      <c r="K31" s="10"/>
      <c r="L31" s="10"/>
      <c r="M31" s="10"/>
      <c r="N31" s="10"/>
      <c r="O31" s="10"/>
      <c r="P31" s="10">
        <v>4500</v>
      </c>
      <c r="Q31" s="66">
        <v>8180278796</v>
      </c>
      <c r="R31" s="1"/>
    </row>
    <row r="32" spans="1:18" x14ac:dyDescent="0.25">
      <c r="A32" s="7">
        <v>43854</v>
      </c>
      <c r="B32" s="1" t="s">
        <v>585</v>
      </c>
      <c r="C32" s="1"/>
      <c r="D32" s="1"/>
      <c r="E32" s="1" t="s">
        <v>586</v>
      </c>
      <c r="F32" s="1">
        <v>1900</v>
      </c>
      <c r="G32" s="1"/>
      <c r="H32" s="1"/>
      <c r="I32" s="1"/>
      <c r="J32" s="1"/>
      <c r="K32" s="1"/>
      <c r="L32" s="1"/>
      <c r="M32" s="1"/>
      <c r="N32" s="1"/>
      <c r="O32" s="1"/>
      <c r="P32" s="1">
        <v>3800</v>
      </c>
      <c r="Q32" s="54">
        <v>8112281762</v>
      </c>
      <c r="R32" s="1" t="s">
        <v>715</v>
      </c>
    </row>
    <row r="33" spans="1:18" x14ac:dyDescent="0.25">
      <c r="A33" s="8">
        <v>43855</v>
      </c>
      <c r="B33" s="4" t="s">
        <v>587</v>
      </c>
      <c r="C33" s="5">
        <v>43894</v>
      </c>
      <c r="D33" s="4"/>
      <c r="E33" s="4" t="s">
        <v>588</v>
      </c>
      <c r="F33" s="4">
        <v>1400</v>
      </c>
      <c r="G33" s="4">
        <v>1800</v>
      </c>
      <c r="H33" s="4">
        <v>600</v>
      </c>
      <c r="I33" s="4"/>
      <c r="J33" s="4"/>
      <c r="K33" s="4"/>
      <c r="L33" s="4"/>
      <c r="M33" s="4"/>
      <c r="N33" s="4"/>
      <c r="O33" s="4"/>
      <c r="P33" s="4">
        <v>3500</v>
      </c>
      <c r="Q33" s="55">
        <v>8119140831</v>
      </c>
      <c r="R33" s="1"/>
    </row>
    <row r="34" spans="1:18" x14ac:dyDescent="0.25">
      <c r="A34" s="8">
        <v>43855</v>
      </c>
      <c r="B34" s="4" t="s">
        <v>589</v>
      </c>
      <c r="C34" s="8">
        <v>44142</v>
      </c>
      <c r="D34" s="4"/>
      <c r="E34" s="4" t="s">
        <v>590</v>
      </c>
      <c r="F34" s="4">
        <v>1660</v>
      </c>
      <c r="G34" s="4">
        <v>1400</v>
      </c>
      <c r="H34" s="4">
        <v>1700</v>
      </c>
      <c r="I34" s="4">
        <v>1700</v>
      </c>
      <c r="J34" s="4">
        <v>1840</v>
      </c>
      <c r="K34" s="4"/>
      <c r="L34" s="4"/>
      <c r="M34" s="4"/>
      <c r="N34" s="4"/>
      <c r="O34" s="4"/>
      <c r="P34" s="4">
        <v>8300</v>
      </c>
      <c r="Q34" s="55">
        <v>8119099461</v>
      </c>
      <c r="R34" s="1"/>
    </row>
    <row r="35" spans="1:18" x14ac:dyDescent="0.25">
      <c r="A35" s="8">
        <v>43855</v>
      </c>
      <c r="B35" s="4" t="s">
        <v>816</v>
      </c>
      <c r="C35" s="5">
        <v>44072</v>
      </c>
      <c r="D35" s="4"/>
      <c r="E35" s="4" t="s">
        <v>662</v>
      </c>
      <c r="F35" s="4">
        <v>2390</v>
      </c>
      <c r="G35" s="4">
        <v>2390</v>
      </c>
      <c r="H35" s="4">
        <v>2400</v>
      </c>
      <c r="I35" s="4">
        <v>2500</v>
      </c>
      <c r="J35" s="4">
        <v>2270</v>
      </c>
      <c r="K35" s="4">
        <v>100</v>
      </c>
      <c r="L35" s="4"/>
      <c r="M35" s="4"/>
      <c r="N35" s="4"/>
      <c r="O35" s="4"/>
      <c r="P35" s="4">
        <v>11950</v>
      </c>
      <c r="Q35" s="55">
        <v>8121734731</v>
      </c>
      <c r="R35" s="45"/>
    </row>
    <row r="36" spans="1:18" ht="90" x14ac:dyDescent="0.25">
      <c r="A36" s="8">
        <v>43855</v>
      </c>
      <c r="B36" s="4" t="s">
        <v>591</v>
      </c>
      <c r="C36" s="8">
        <v>44149</v>
      </c>
      <c r="D36" s="4"/>
      <c r="E36" s="40" t="s">
        <v>811</v>
      </c>
      <c r="F36" s="4">
        <v>2000</v>
      </c>
      <c r="G36" s="4">
        <v>1000</v>
      </c>
      <c r="H36" s="4">
        <v>2200</v>
      </c>
      <c r="I36" s="4">
        <v>2200</v>
      </c>
      <c r="J36" s="4">
        <v>2200</v>
      </c>
      <c r="K36" s="4">
        <v>2000</v>
      </c>
      <c r="L36" s="4">
        <v>1570</v>
      </c>
      <c r="M36" s="4">
        <v>2700</v>
      </c>
      <c r="N36" s="4"/>
      <c r="O36" s="4"/>
      <c r="P36" s="4">
        <v>15870</v>
      </c>
      <c r="Q36" s="55">
        <v>8124436195</v>
      </c>
      <c r="R36" s="4" t="s">
        <v>575</v>
      </c>
    </row>
    <row r="37" spans="1:18" x14ac:dyDescent="0.25">
      <c r="A37" s="8">
        <v>43855</v>
      </c>
      <c r="B37" s="4" t="s">
        <v>673</v>
      </c>
      <c r="C37" s="8">
        <v>43953</v>
      </c>
      <c r="D37" s="4"/>
      <c r="E37" s="4" t="s">
        <v>584</v>
      </c>
      <c r="F37" s="4">
        <v>4000</v>
      </c>
      <c r="G37" s="4">
        <v>1070</v>
      </c>
      <c r="H37" s="4"/>
      <c r="I37" s="4"/>
      <c r="J37" s="4"/>
      <c r="K37" s="4"/>
      <c r="L37" s="4"/>
      <c r="M37" s="4"/>
      <c r="N37" s="4"/>
      <c r="O37" s="4"/>
      <c r="P37" s="4">
        <v>5070</v>
      </c>
      <c r="Q37" s="55">
        <v>8132749793</v>
      </c>
      <c r="R37" s="1"/>
    </row>
    <row r="38" spans="1:18" x14ac:dyDescent="0.25">
      <c r="A38" s="8">
        <v>43857</v>
      </c>
      <c r="B38" s="4" t="s">
        <v>592</v>
      </c>
      <c r="C38" s="6" t="s">
        <v>892</v>
      </c>
      <c r="D38" s="4"/>
      <c r="E38" s="4" t="s">
        <v>571</v>
      </c>
      <c r="F38" s="4">
        <v>2000</v>
      </c>
      <c r="G38" s="4">
        <v>2000</v>
      </c>
      <c r="H38" s="4">
        <v>2000</v>
      </c>
      <c r="I38" s="4">
        <v>1100</v>
      </c>
      <c r="J38" s="4">
        <v>2800</v>
      </c>
      <c r="K38" s="4"/>
      <c r="L38" s="4"/>
      <c r="M38" s="4"/>
      <c r="N38" s="4"/>
      <c r="O38" s="4"/>
      <c r="P38" s="4">
        <v>9900</v>
      </c>
      <c r="Q38" s="55">
        <v>8124662718</v>
      </c>
      <c r="R38" s="4"/>
    </row>
    <row r="39" spans="1:18" x14ac:dyDescent="0.25">
      <c r="A39" s="8">
        <v>43858</v>
      </c>
      <c r="B39" s="4" t="s">
        <v>594</v>
      </c>
      <c r="C39" s="8">
        <v>43905</v>
      </c>
      <c r="D39" s="4"/>
      <c r="E39" s="4" t="s">
        <v>593</v>
      </c>
      <c r="F39" s="4">
        <v>3060</v>
      </c>
      <c r="G39" s="4">
        <v>2295</v>
      </c>
      <c r="H39" s="4">
        <v>2395</v>
      </c>
      <c r="I39" s="4"/>
      <c r="J39" s="4"/>
      <c r="K39" s="4"/>
      <c r="L39" s="4"/>
      <c r="M39" s="4"/>
      <c r="N39" s="4"/>
      <c r="O39" s="4"/>
      <c r="P39" s="4">
        <v>7650</v>
      </c>
      <c r="Q39" s="55"/>
      <c r="R39" s="1"/>
    </row>
    <row r="40" spans="1:18" x14ac:dyDescent="0.25">
      <c r="A40" s="8">
        <f ca="1">A40:P4030/0+A40:K401/2020</f>
        <v>0</v>
      </c>
      <c r="B40" s="4" t="s">
        <v>596</v>
      </c>
      <c r="C40" s="5">
        <v>44092</v>
      </c>
      <c r="D40" s="4"/>
      <c r="E40" s="4" t="s">
        <v>597</v>
      </c>
      <c r="F40" s="4">
        <v>3420</v>
      </c>
      <c r="G40" s="4">
        <v>5130</v>
      </c>
      <c r="H40" s="4"/>
      <c r="I40" s="4"/>
      <c r="J40" s="4"/>
      <c r="K40" s="4"/>
      <c r="L40" s="4"/>
      <c r="M40" s="4"/>
      <c r="N40" s="4"/>
      <c r="O40" s="4"/>
      <c r="P40" s="4">
        <v>8550</v>
      </c>
      <c r="Q40" s="55">
        <v>8122935958</v>
      </c>
      <c r="R40" s="1"/>
    </row>
    <row r="41" spans="1:18" x14ac:dyDescent="0.25">
      <c r="A41" s="8">
        <v>43861</v>
      </c>
      <c r="B41" s="4" t="s">
        <v>598</v>
      </c>
      <c r="C41" s="8">
        <v>44002</v>
      </c>
      <c r="D41" s="4"/>
      <c r="E41" s="4" t="s">
        <v>750</v>
      </c>
      <c r="F41" s="4">
        <v>3780</v>
      </c>
      <c r="G41" s="4">
        <v>4000</v>
      </c>
      <c r="H41" s="4">
        <v>2090</v>
      </c>
      <c r="I41" s="4">
        <v>1680</v>
      </c>
      <c r="J41" s="4"/>
      <c r="K41" s="4"/>
      <c r="L41" s="4"/>
      <c r="M41" s="4"/>
      <c r="N41" s="4"/>
      <c r="O41" s="4"/>
      <c r="P41" s="4">
        <v>11550</v>
      </c>
      <c r="Q41" s="55">
        <v>8119743938</v>
      </c>
      <c r="R41" s="1"/>
    </row>
    <row r="42" spans="1:18" x14ac:dyDescent="0.25">
      <c r="A42" s="48">
        <v>43888</v>
      </c>
      <c r="B42" s="34" t="s">
        <v>654</v>
      </c>
      <c r="C42" s="36"/>
      <c r="D42" s="36"/>
      <c r="E42" s="34" t="s">
        <v>655</v>
      </c>
      <c r="F42" s="34">
        <v>2100</v>
      </c>
      <c r="G42" s="36"/>
      <c r="H42" s="36"/>
      <c r="I42" s="36"/>
      <c r="J42" s="36"/>
      <c r="K42" s="36"/>
      <c r="L42" s="36"/>
      <c r="M42" s="36"/>
      <c r="N42" s="36"/>
      <c r="O42" s="36"/>
      <c r="P42" s="34">
        <v>2100</v>
      </c>
      <c r="Q42" s="36"/>
      <c r="R42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1"/>
  <sheetViews>
    <sheetView topLeftCell="A19" workbookViewId="0">
      <selection activeCell="E20" sqref="E20"/>
    </sheetView>
  </sheetViews>
  <sheetFormatPr baseColWidth="10" defaultRowHeight="15" x14ac:dyDescent="0.25"/>
  <cols>
    <col min="5" max="5" width="21" customWidth="1"/>
  </cols>
  <sheetData>
    <row r="1" spans="1:19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/>
      <c r="L1" s="57" t="s">
        <v>841</v>
      </c>
      <c r="M1" s="57"/>
      <c r="N1" s="57"/>
      <c r="O1" s="57"/>
      <c r="P1" s="57"/>
      <c r="Q1" s="57" t="s">
        <v>270</v>
      </c>
      <c r="R1" s="57" t="s">
        <v>271</v>
      </c>
      <c r="S1" s="61" t="s">
        <v>833</v>
      </c>
    </row>
    <row r="2" spans="1:19" x14ac:dyDescent="0.25">
      <c r="A2" s="8">
        <v>43862</v>
      </c>
      <c r="B2" s="4" t="s">
        <v>661</v>
      </c>
      <c r="C2" s="8">
        <v>44141</v>
      </c>
      <c r="D2" s="4"/>
      <c r="E2" s="4" t="s">
        <v>934</v>
      </c>
      <c r="F2" s="4">
        <v>1700</v>
      </c>
      <c r="G2" s="4">
        <v>1600</v>
      </c>
      <c r="H2" s="4">
        <v>1600</v>
      </c>
      <c r="I2" s="4">
        <v>1600</v>
      </c>
      <c r="J2" s="4">
        <v>1600</v>
      </c>
      <c r="K2" s="4"/>
      <c r="L2" s="4">
        <v>500</v>
      </c>
      <c r="M2" s="4">
        <v>100</v>
      </c>
      <c r="N2" s="4"/>
      <c r="O2" s="4"/>
      <c r="P2" s="4"/>
      <c r="Q2" s="4">
        <v>8100</v>
      </c>
      <c r="R2" s="4">
        <v>8123548990</v>
      </c>
      <c r="S2" t="s">
        <v>600</v>
      </c>
    </row>
    <row r="3" spans="1:19" x14ac:dyDescent="0.25">
      <c r="A3" s="8">
        <v>43862</v>
      </c>
      <c r="B3" s="4" t="s">
        <v>760</v>
      </c>
      <c r="C3" s="5">
        <v>44121</v>
      </c>
      <c r="D3" s="4"/>
      <c r="E3" s="4" t="s">
        <v>1188</v>
      </c>
      <c r="F3" s="4">
        <v>1984</v>
      </c>
      <c r="G3" s="4" t="s">
        <v>847</v>
      </c>
      <c r="H3" s="4" t="s">
        <v>848</v>
      </c>
      <c r="I3" s="4" t="s">
        <v>849</v>
      </c>
      <c r="J3" s="4" t="s">
        <v>850</v>
      </c>
      <c r="K3" s="4"/>
      <c r="L3" s="4">
        <v>300</v>
      </c>
      <c r="M3" s="4">
        <v>3000</v>
      </c>
      <c r="N3" s="4">
        <v>1786</v>
      </c>
      <c r="O3" s="4">
        <v>1786</v>
      </c>
      <c r="P3" s="4">
        <v>380</v>
      </c>
      <c r="Q3" s="4">
        <v>15600</v>
      </c>
      <c r="R3" s="53" t="s">
        <v>769</v>
      </c>
    </row>
    <row r="4" spans="1:19" ht="45" x14ac:dyDescent="0.25">
      <c r="A4" s="8">
        <v>43862</v>
      </c>
      <c r="B4" s="4" t="s">
        <v>601</v>
      </c>
      <c r="C4" s="5">
        <v>43981</v>
      </c>
      <c r="D4" s="4"/>
      <c r="E4" s="40" t="s">
        <v>713</v>
      </c>
      <c r="F4" s="4">
        <v>3160</v>
      </c>
      <c r="G4" s="4">
        <v>1050</v>
      </c>
      <c r="H4" s="4">
        <v>1500</v>
      </c>
      <c r="I4" s="4">
        <v>2410</v>
      </c>
      <c r="J4" s="4"/>
      <c r="K4" s="4"/>
      <c r="L4" s="4"/>
      <c r="M4" s="4"/>
      <c r="N4" s="4"/>
      <c r="O4" s="4"/>
      <c r="P4" s="4"/>
      <c r="Q4" s="4">
        <v>8020</v>
      </c>
      <c r="R4" s="53"/>
    </row>
    <row r="5" spans="1:19" x14ac:dyDescent="0.25">
      <c r="A5" s="8" t="s">
        <v>774</v>
      </c>
      <c r="B5" s="4" t="s">
        <v>656</v>
      </c>
      <c r="C5" s="8">
        <v>44135</v>
      </c>
      <c r="D5" s="4"/>
      <c r="E5" s="4" t="s">
        <v>605</v>
      </c>
      <c r="F5" s="4">
        <v>2500</v>
      </c>
      <c r="G5" s="4">
        <v>2600</v>
      </c>
      <c r="H5" s="4">
        <v>2600</v>
      </c>
      <c r="I5" s="4">
        <v>2600</v>
      </c>
      <c r="J5" s="4">
        <v>2210</v>
      </c>
      <c r="K5" s="4"/>
      <c r="L5" s="4"/>
      <c r="M5" s="4"/>
      <c r="N5" s="4"/>
      <c r="O5" s="4"/>
      <c r="P5" s="4"/>
      <c r="Q5" s="4">
        <v>12510</v>
      </c>
      <c r="R5" s="36">
        <v>8180525732</v>
      </c>
    </row>
    <row r="6" spans="1:19" x14ac:dyDescent="0.25">
      <c r="A6" s="8">
        <v>43862</v>
      </c>
      <c r="B6" s="4" t="s">
        <v>703</v>
      </c>
      <c r="C6" s="5">
        <v>44035</v>
      </c>
      <c r="D6" s="4"/>
      <c r="E6" s="4" t="s">
        <v>74</v>
      </c>
      <c r="F6" s="4">
        <v>1000</v>
      </c>
      <c r="G6" s="4">
        <v>1500</v>
      </c>
      <c r="H6" s="4">
        <v>1700</v>
      </c>
      <c r="I6" s="4">
        <v>2000</v>
      </c>
      <c r="J6" s="4">
        <v>1550</v>
      </c>
      <c r="K6" s="4"/>
      <c r="L6" s="4"/>
      <c r="M6" s="4"/>
      <c r="N6" s="4"/>
      <c r="O6" s="4"/>
      <c r="P6" s="4"/>
      <c r="Q6" s="4">
        <v>7750</v>
      </c>
      <c r="R6" s="53" t="s">
        <v>606</v>
      </c>
      <c r="S6" t="s">
        <v>795</v>
      </c>
    </row>
    <row r="7" spans="1:19" ht="30" x14ac:dyDescent="0.25">
      <c r="A7" s="8">
        <v>43864</v>
      </c>
      <c r="B7" s="4" t="s">
        <v>607</v>
      </c>
      <c r="C7" s="8">
        <v>44037</v>
      </c>
      <c r="D7" s="4"/>
      <c r="E7" s="40" t="s">
        <v>608</v>
      </c>
      <c r="F7" s="4">
        <v>1880</v>
      </c>
      <c r="G7" s="4">
        <v>1500</v>
      </c>
      <c r="H7" s="4">
        <v>1440</v>
      </c>
      <c r="I7" s="4"/>
      <c r="J7" s="4"/>
      <c r="K7" s="4"/>
      <c r="L7" s="4"/>
      <c r="M7" s="4"/>
      <c r="N7" s="4"/>
      <c r="O7" s="4"/>
      <c r="P7" s="4"/>
      <c r="Q7" s="4">
        <v>4720</v>
      </c>
      <c r="R7" s="53" t="s">
        <v>609</v>
      </c>
    </row>
    <row r="8" spans="1:19" x14ac:dyDescent="0.25">
      <c r="A8" s="26">
        <v>43865</v>
      </c>
      <c r="B8" s="10" t="s">
        <v>610</v>
      </c>
      <c r="C8" s="10"/>
      <c r="D8" s="10"/>
      <c r="E8" s="10" t="s">
        <v>611</v>
      </c>
      <c r="F8" s="10">
        <v>1000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>
        <v>11900</v>
      </c>
      <c r="R8" s="52" t="s">
        <v>612</v>
      </c>
    </row>
    <row r="9" spans="1:19" x14ac:dyDescent="0.25">
      <c r="A9" s="8">
        <v>43865</v>
      </c>
      <c r="B9" s="4" t="s">
        <v>867</v>
      </c>
      <c r="C9" s="8">
        <v>44387</v>
      </c>
      <c r="D9" s="4"/>
      <c r="E9" s="4" t="s">
        <v>480</v>
      </c>
      <c r="F9" s="4">
        <v>1500</v>
      </c>
      <c r="G9" s="4">
        <v>1500</v>
      </c>
      <c r="H9" s="4">
        <v>1500</v>
      </c>
      <c r="I9" s="4">
        <v>1500</v>
      </c>
      <c r="J9" s="4">
        <v>1650</v>
      </c>
      <c r="K9" s="4"/>
      <c r="L9" s="4" t="s">
        <v>1380</v>
      </c>
      <c r="M9" s="4"/>
      <c r="N9" s="4"/>
      <c r="O9" s="4"/>
      <c r="P9" s="4"/>
      <c r="Q9" s="4">
        <v>10350</v>
      </c>
      <c r="R9" s="53" t="s">
        <v>614</v>
      </c>
      <c r="S9" t="s">
        <v>1370</v>
      </c>
    </row>
    <row r="10" spans="1:19" ht="30" x14ac:dyDescent="0.25">
      <c r="A10" s="8">
        <v>43869</v>
      </c>
      <c r="B10" s="4" t="s">
        <v>697</v>
      </c>
      <c r="C10" s="6">
        <v>44156</v>
      </c>
      <c r="D10" s="4"/>
      <c r="E10" s="40" t="s">
        <v>794</v>
      </c>
      <c r="F10" s="4">
        <v>1994</v>
      </c>
      <c r="G10" s="4">
        <v>2000</v>
      </c>
      <c r="H10" s="4">
        <v>2000</v>
      </c>
      <c r="I10" s="4">
        <v>1500</v>
      </c>
      <c r="J10" s="4">
        <v>3000</v>
      </c>
      <c r="K10" s="4"/>
      <c r="L10" s="4">
        <v>1026</v>
      </c>
      <c r="M10" s="4"/>
      <c r="N10" s="4"/>
      <c r="O10" s="4"/>
      <c r="P10" s="4"/>
      <c r="Q10" s="4">
        <v>11520</v>
      </c>
      <c r="R10" s="53" t="s">
        <v>616</v>
      </c>
      <c r="S10" t="s">
        <v>851</v>
      </c>
    </row>
    <row r="11" spans="1:19" x14ac:dyDescent="0.25">
      <c r="A11" s="8">
        <v>43869</v>
      </c>
      <c r="B11" s="4" t="s">
        <v>617</v>
      </c>
      <c r="C11" s="8">
        <v>43995</v>
      </c>
      <c r="D11" s="4"/>
      <c r="E11" s="4" t="s">
        <v>426</v>
      </c>
      <c r="F11" s="4">
        <v>3060</v>
      </c>
      <c r="G11" s="4">
        <v>2200</v>
      </c>
      <c r="H11" s="4">
        <v>2490</v>
      </c>
      <c r="I11" s="4"/>
      <c r="J11" s="4"/>
      <c r="K11" s="4"/>
      <c r="L11" s="4"/>
      <c r="M11" s="4"/>
      <c r="N11" s="4"/>
      <c r="O11" s="4"/>
      <c r="P11" s="4"/>
      <c r="Q11" s="4">
        <v>7650</v>
      </c>
      <c r="R11" s="4"/>
      <c r="S11" t="s">
        <v>852</v>
      </c>
    </row>
    <row r="12" spans="1:19" x14ac:dyDescent="0.25">
      <c r="A12" s="4" t="s">
        <v>618</v>
      </c>
      <c r="B12" s="4" t="s">
        <v>619</v>
      </c>
      <c r="C12" s="5">
        <v>43910</v>
      </c>
      <c r="D12" s="4"/>
      <c r="E12" s="4" t="s">
        <v>620</v>
      </c>
      <c r="F12" s="4">
        <v>1800</v>
      </c>
      <c r="G12" s="4">
        <v>1800</v>
      </c>
      <c r="H12" s="4"/>
      <c r="I12" s="4"/>
      <c r="J12" s="4"/>
      <c r="K12" s="4"/>
      <c r="L12" s="4"/>
      <c r="M12" s="4"/>
      <c r="N12" s="4"/>
      <c r="O12" s="4"/>
      <c r="P12" s="4"/>
      <c r="Q12" s="4">
        <v>3600</v>
      </c>
      <c r="R12" s="4"/>
    </row>
    <row r="13" spans="1:19" x14ac:dyDescent="0.25">
      <c r="A13" s="8">
        <v>43869</v>
      </c>
      <c r="B13" s="4" t="s">
        <v>621</v>
      </c>
      <c r="C13" s="8">
        <v>43987</v>
      </c>
      <c r="D13" s="4"/>
      <c r="E13" s="4" t="s">
        <v>265</v>
      </c>
      <c r="F13" s="4">
        <v>1400</v>
      </c>
      <c r="G13" s="4">
        <v>1050</v>
      </c>
      <c r="H13" s="4">
        <v>1050</v>
      </c>
      <c r="I13" s="4">
        <v>100</v>
      </c>
      <c r="J13" s="4"/>
      <c r="K13" s="4"/>
      <c r="L13" s="4"/>
      <c r="M13" s="4"/>
      <c r="N13" s="4"/>
      <c r="O13" s="4"/>
      <c r="P13" s="4"/>
      <c r="Q13" s="4">
        <v>3500</v>
      </c>
      <c r="R13" s="4">
        <v>818136287</v>
      </c>
    </row>
    <row r="14" spans="1:19" x14ac:dyDescent="0.25">
      <c r="A14" s="8">
        <v>43869</v>
      </c>
      <c r="B14" s="4" t="s">
        <v>712</v>
      </c>
      <c r="C14" s="8">
        <v>44491</v>
      </c>
      <c r="D14" s="4"/>
      <c r="E14" s="4" t="s">
        <v>1671</v>
      </c>
      <c r="F14" s="4">
        <v>1530</v>
      </c>
      <c r="G14" s="4">
        <v>1530</v>
      </c>
      <c r="H14" s="4">
        <v>1530</v>
      </c>
      <c r="I14" s="4">
        <v>1530</v>
      </c>
      <c r="J14" s="4">
        <v>1530</v>
      </c>
      <c r="K14" s="4"/>
      <c r="L14" s="4" t="s">
        <v>1672</v>
      </c>
      <c r="M14" s="4"/>
      <c r="N14" s="4"/>
      <c r="O14" s="4"/>
      <c r="P14" s="4"/>
      <c r="Q14" s="4">
        <v>9450</v>
      </c>
      <c r="R14" s="4">
        <v>8112525461</v>
      </c>
    </row>
    <row r="15" spans="1:19" ht="30" x14ac:dyDescent="0.25">
      <c r="A15" s="8">
        <v>43869</v>
      </c>
      <c r="B15" s="4" t="s">
        <v>623</v>
      </c>
      <c r="C15" s="8">
        <v>44016</v>
      </c>
      <c r="D15" s="4"/>
      <c r="E15" s="40" t="s">
        <v>624</v>
      </c>
      <c r="F15" s="4">
        <v>2000</v>
      </c>
      <c r="G15" s="4">
        <v>3000</v>
      </c>
      <c r="H15" s="4">
        <v>4000</v>
      </c>
      <c r="I15" s="4">
        <v>1120</v>
      </c>
      <c r="J15" s="4"/>
      <c r="K15" s="4"/>
      <c r="L15" s="4"/>
      <c r="M15" s="4"/>
      <c r="N15" s="4"/>
      <c r="O15" s="4"/>
      <c r="P15" s="4"/>
      <c r="Q15" s="4">
        <v>10020</v>
      </c>
      <c r="R15" s="4">
        <v>8125159252</v>
      </c>
    </row>
    <row r="16" spans="1:19" x14ac:dyDescent="0.25">
      <c r="A16" s="8">
        <v>43871</v>
      </c>
      <c r="B16" s="4" t="s">
        <v>629</v>
      </c>
      <c r="C16" s="8">
        <v>44086</v>
      </c>
      <c r="D16" s="4"/>
      <c r="E16" s="4" t="s">
        <v>630</v>
      </c>
      <c r="F16" s="4">
        <v>3000</v>
      </c>
      <c r="G16" s="4">
        <v>5000</v>
      </c>
      <c r="H16" s="4">
        <v>6770</v>
      </c>
      <c r="I16" s="4"/>
      <c r="J16" s="4"/>
      <c r="K16" s="4"/>
      <c r="L16" s="4"/>
      <c r="M16" s="4"/>
      <c r="N16" s="4"/>
      <c r="O16" s="4"/>
      <c r="P16" s="4"/>
      <c r="Q16" s="4">
        <v>14770</v>
      </c>
      <c r="R16" s="4">
        <v>8115320703</v>
      </c>
    </row>
    <row r="17" spans="1:19" x14ac:dyDescent="0.25">
      <c r="A17" s="8">
        <v>43873</v>
      </c>
      <c r="B17" s="4" t="s">
        <v>728</v>
      </c>
      <c r="C17" s="8">
        <v>44121</v>
      </c>
      <c r="D17" s="4"/>
      <c r="E17" s="4" t="s">
        <v>1008</v>
      </c>
      <c r="F17" s="4">
        <v>2000</v>
      </c>
      <c r="G17" s="4">
        <v>2000</v>
      </c>
      <c r="H17" s="4">
        <v>2000</v>
      </c>
      <c r="I17" s="4">
        <v>500</v>
      </c>
      <c r="J17" s="4"/>
      <c r="K17" s="4"/>
      <c r="L17" s="4"/>
      <c r="M17" s="4"/>
      <c r="N17" s="4"/>
      <c r="O17" s="4"/>
      <c r="P17" s="4"/>
      <c r="Q17" s="4">
        <v>10000</v>
      </c>
      <c r="R17" s="4">
        <v>8116825770</v>
      </c>
    </row>
    <row r="18" spans="1:19" x14ac:dyDescent="0.25">
      <c r="A18" s="8">
        <v>43874</v>
      </c>
      <c r="B18" s="4" t="s">
        <v>632</v>
      </c>
      <c r="C18" s="8">
        <v>44177</v>
      </c>
      <c r="D18" s="4"/>
      <c r="E18" s="4" t="s">
        <v>891</v>
      </c>
      <c r="F18" s="4">
        <v>1530</v>
      </c>
      <c r="G18" s="4">
        <v>1224</v>
      </c>
      <c r="H18" s="4">
        <v>1224</v>
      </c>
      <c r="I18" s="4">
        <v>1224</v>
      </c>
      <c r="J18" s="4">
        <v>1224</v>
      </c>
      <c r="K18" s="4"/>
      <c r="L18" s="4">
        <v>1224</v>
      </c>
      <c r="M18" s="4">
        <v>600</v>
      </c>
      <c r="N18" s="4">
        <v>900</v>
      </c>
      <c r="O18" s="4"/>
      <c r="P18" s="4"/>
      <c r="Q18" s="4">
        <v>9150</v>
      </c>
      <c r="R18" s="4">
        <v>8186907765</v>
      </c>
    </row>
    <row r="19" spans="1:19" ht="45" x14ac:dyDescent="0.25">
      <c r="A19" s="8">
        <v>43876</v>
      </c>
      <c r="B19" s="4" t="s">
        <v>775</v>
      </c>
      <c r="C19" s="8">
        <v>44135</v>
      </c>
      <c r="D19" s="4"/>
      <c r="E19" s="40" t="s">
        <v>1963</v>
      </c>
      <c r="F19" s="4">
        <v>1400</v>
      </c>
      <c r="G19" s="4">
        <v>1400</v>
      </c>
      <c r="H19" s="4">
        <v>1400</v>
      </c>
      <c r="I19" s="4">
        <v>1400</v>
      </c>
      <c r="J19" s="4">
        <v>1400</v>
      </c>
      <c r="K19" s="4" t="s">
        <v>1909</v>
      </c>
      <c r="L19" s="4" t="s">
        <v>1833</v>
      </c>
      <c r="M19" s="4" t="s">
        <v>1964</v>
      </c>
      <c r="N19" s="4"/>
      <c r="O19" s="4"/>
      <c r="P19" s="4"/>
      <c r="Q19" s="4">
        <v>7000</v>
      </c>
      <c r="R19" s="4">
        <v>8115113392</v>
      </c>
    </row>
    <row r="20" spans="1:19" x14ac:dyDescent="0.25">
      <c r="A20" s="8">
        <v>43876</v>
      </c>
      <c r="B20" s="4" t="s">
        <v>634</v>
      </c>
      <c r="C20" s="6">
        <v>44387</v>
      </c>
      <c r="D20" s="4"/>
      <c r="E20" s="4" t="s">
        <v>635</v>
      </c>
      <c r="F20" s="4">
        <v>1210</v>
      </c>
      <c r="G20" s="4">
        <v>2000</v>
      </c>
      <c r="H20" s="4">
        <v>2840</v>
      </c>
      <c r="I20" s="4"/>
      <c r="J20" s="4"/>
      <c r="K20" s="4"/>
      <c r="L20" s="4"/>
      <c r="M20" s="4"/>
      <c r="N20" s="4"/>
      <c r="O20" s="4"/>
      <c r="P20" s="4"/>
      <c r="Q20" s="4">
        <v>6050</v>
      </c>
      <c r="R20" s="4">
        <v>8184650222</v>
      </c>
    </row>
    <row r="21" spans="1:19" x14ac:dyDescent="0.25">
      <c r="A21" s="8">
        <v>43876</v>
      </c>
      <c r="B21" s="4" t="s">
        <v>636</v>
      </c>
      <c r="C21" s="8">
        <v>43960</v>
      </c>
      <c r="D21" s="4"/>
      <c r="E21" s="4" t="s">
        <v>637</v>
      </c>
      <c r="F21" s="4">
        <v>5000</v>
      </c>
      <c r="G21" s="4">
        <v>5150</v>
      </c>
      <c r="H21" s="4"/>
      <c r="I21" s="4"/>
      <c r="J21" s="4"/>
      <c r="K21" s="4"/>
      <c r="L21" s="4"/>
      <c r="M21" s="4"/>
      <c r="N21" s="4"/>
      <c r="O21" s="4"/>
      <c r="P21" s="4"/>
      <c r="Q21" s="4" t="s">
        <v>700</v>
      </c>
      <c r="R21" s="4">
        <v>8115190769</v>
      </c>
    </row>
    <row r="22" spans="1:19" x14ac:dyDescent="0.25">
      <c r="A22" s="8">
        <v>43876</v>
      </c>
      <c r="B22" s="4" t="s">
        <v>638</v>
      </c>
      <c r="C22" s="5">
        <v>43904</v>
      </c>
      <c r="D22" s="4"/>
      <c r="E22" s="4" t="s">
        <v>640</v>
      </c>
      <c r="F22" s="4">
        <v>2000</v>
      </c>
      <c r="G22" s="4">
        <v>5350</v>
      </c>
      <c r="H22" s="4">
        <v>1500</v>
      </c>
      <c r="I22" s="4">
        <v>1100</v>
      </c>
      <c r="J22" s="4"/>
      <c r="K22" s="4"/>
      <c r="L22" s="4"/>
      <c r="M22" s="4"/>
      <c r="N22" s="4"/>
      <c r="O22" s="4"/>
      <c r="P22" s="4"/>
      <c r="Q22" s="4">
        <v>8500</v>
      </c>
      <c r="R22" s="4">
        <v>8123920265</v>
      </c>
      <c r="S22" t="s">
        <v>642</v>
      </c>
    </row>
    <row r="23" spans="1:19" x14ac:dyDescent="0.25">
      <c r="A23" s="8">
        <v>43878</v>
      </c>
      <c r="B23" s="4" t="s">
        <v>639</v>
      </c>
      <c r="C23" s="4"/>
      <c r="D23" s="4"/>
      <c r="E23" s="4" t="s">
        <v>652</v>
      </c>
      <c r="F23" s="4">
        <v>300</v>
      </c>
      <c r="G23" s="4">
        <v>1800</v>
      </c>
      <c r="H23" s="4">
        <v>1000</v>
      </c>
      <c r="I23" s="4">
        <v>500</v>
      </c>
      <c r="J23" s="4">
        <v>850</v>
      </c>
      <c r="K23" s="4"/>
      <c r="L23" s="4"/>
      <c r="M23" s="4"/>
      <c r="N23" s="4"/>
      <c r="O23" s="4"/>
      <c r="P23" s="4"/>
      <c r="Q23" s="4">
        <v>4450</v>
      </c>
      <c r="R23" s="4">
        <v>8121727104</v>
      </c>
    </row>
    <row r="24" spans="1:19" x14ac:dyDescent="0.25">
      <c r="A24" s="8" t="s">
        <v>645</v>
      </c>
      <c r="B24" s="4" t="s">
        <v>701</v>
      </c>
      <c r="C24" s="6">
        <v>11171</v>
      </c>
      <c r="D24" s="4"/>
      <c r="E24" s="4" t="s">
        <v>646</v>
      </c>
      <c r="F24" s="4">
        <v>1710</v>
      </c>
      <c r="G24" s="4">
        <v>2400</v>
      </c>
      <c r="H24" s="4">
        <v>2700</v>
      </c>
      <c r="I24" s="4">
        <v>1840</v>
      </c>
      <c r="J24" s="4"/>
      <c r="K24" s="4"/>
      <c r="L24" s="4"/>
      <c r="M24" s="4"/>
      <c r="N24" s="4"/>
      <c r="O24" s="4"/>
      <c r="P24" s="4"/>
      <c r="Q24" s="4">
        <v>8550</v>
      </c>
      <c r="R24" s="4">
        <v>8132410925</v>
      </c>
      <c r="S24" t="s">
        <v>702</v>
      </c>
    </row>
    <row r="25" spans="1:19" x14ac:dyDescent="0.25">
      <c r="A25" s="5">
        <v>43887</v>
      </c>
      <c r="B25" s="4" t="s">
        <v>647</v>
      </c>
      <c r="C25" s="4" t="s">
        <v>648</v>
      </c>
      <c r="D25" s="4"/>
      <c r="E25" s="4" t="s">
        <v>649</v>
      </c>
      <c r="F25" s="4">
        <v>2554</v>
      </c>
      <c r="G25" s="4">
        <v>2554</v>
      </c>
      <c r="H25" s="4">
        <v>3830</v>
      </c>
      <c r="I25" s="4">
        <v>3932</v>
      </c>
      <c r="J25" s="4"/>
      <c r="K25" s="4"/>
      <c r="L25" s="4"/>
      <c r="M25" s="4"/>
      <c r="N25" s="4"/>
      <c r="O25" s="4"/>
      <c r="P25" s="4"/>
      <c r="Q25" s="4">
        <v>12770</v>
      </c>
      <c r="R25" s="4">
        <v>8110810493</v>
      </c>
    </row>
    <row r="26" spans="1:19" x14ac:dyDescent="0.25">
      <c r="A26" s="4" t="s">
        <v>650</v>
      </c>
      <c r="B26" s="4" t="s">
        <v>768</v>
      </c>
      <c r="C26" s="4" t="s">
        <v>651</v>
      </c>
      <c r="D26" s="4"/>
      <c r="E26" s="4" t="s">
        <v>904</v>
      </c>
      <c r="F26" s="4">
        <v>1500</v>
      </c>
      <c r="G26" s="4">
        <v>594</v>
      </c>
      <c r="H26" s="4">
        <v>2100</v>
      </c>
      <c r="I26" s="4">
        <v>2100</v>
      </c>
      <c r="J26" s="4">
        <v>2100</v>
      </c>
      <c r="K26" s="4"/>
      <c r="L26" s="4">
        <v>2076</v>
      </c>
      <c r="M26" s="4"/>
      <c r="N26" s="4"/>
      <c r="O26" s="4"/>
      <c r="P26" s="4"/>
      <c r="Q26" s="4">
        <v>10470</v>
      </c>
      <c r="R26" s="4">
        <v>8126180264</v>
      </c>
    </row>
    <row r="27" spans="1:19" x14ac:dyDescent="0.25">
      <c r="A27" s="26">
        <v>43888</v>
      </c>
      <c r="B27" s="10" t="s">
        <v>653</v>
      </c>
      <c r="C27" s="26">
        <v>44002</v>
      </c>
      <c r="D27" s="10"/>
      <c r="E27" s="10" t="s">
        <v>588</v>
      </c>
      <c r="F27" s="10">
        <v>1000</v>
      </c>
      <c r="G27" s="10">
        <v>500</v>
      </c>
      <c r="H27" s="10"/>
      <c r="I27" s="10"/>
      <c r="J27" s="10"/>
      <c r="K27" s="10"/>
      <c r="L27" s="10"/>
      <c r="M27" s="10"/>
      <c r="N27" s="10"/>
      <c r="O27" s="10"/>
      <c r="P27" s="10"/>
      <c r="Q27" s="10">
        <v>3500</v>
      </c>
      <c r="R27" s="10">
        <v>8131101376</v>
      </c>
      <c r="S27" t="s">
        <v>254</v>
      </c>
    </row>
    <row r="28" spans="1:19" x14ac:dyDescent="0.25">
      <c r="A28" s="5">
        <v>43890</v>
      </c>
      <c r="B28" s="4" t="s">
        <v>660</v>
      </c>
      <c r="C28" s="8">
        <v>44155</v>
      </c>
      <c r="D28" s="4"/>
      <c r="E28" s="4" t="s">
        <v>942</v>
      </c>
      <c r="F28" s="4">
        <v>2070</v>
      </c>
      <c r="G28" s="4">
        <v>2070</v>
      </c>
      <c r="H28" s="4">
        <v>2070</v>
      </c>
      <c r="I28" s="4">
        <v>2070</v>
      </c>
      <c r="J28" s="4">
        <v>2070</v>
      </c>
      <c r="K28" s="4"/>
      <c r="L28" s="4">
        <v>300</v>
      </c>
      <c r="M28" s="4">
        <v>450</v>
      </c>
      <c r="N28" s="4"/>
      <c r="O28" s="4"/>
      <c r="P28" s="4"/>
      <c r="Q28" s="4">
        <v>11100</v>
      </c>
      <c r="R28" s="4">
        <v>8113859673</v>
      </c>
    </row>
    <row r="29" spans="1:19" x14ac:dyDescent="0.25">
      <c r="A29" s="8">
        <v>43890</v>
      </c>
      <c r="B29" s="4" t="s">
        <v>664</v>
      </c>
      <c r="C29" s="8">
        <v>43993</v>
      </c>
      <c r="D29" s="4"/>
      <c r="E29" s="4" t="s">
        <v>678</v>
      </c>
      <c r="F29" s="4">
        <v>1463</v>
      </c>
      <c r="G29" s="4">
        <v>1600</v>
      </c>
      <c r="H29" s="4">
        <v>500</v>
      </c>
      <c r="I29" s="4">
        <v>1500</v>
      </c>
      <c r="J29" s="4">
        <v>700</v>
      </c>
      <c r="K29" s="4"/>
      <c r="L29" s="4">
        <v>4037</v>
      </c>
      <c r="M29" s="4"/>
      <c r="N29" s="4"/>
      <c r="O29" s="4"/>
      <c r="P29" s="4"/>
      <c r="Q29" s="4">
        <v>9000</v>
      </c>
      <c r="R29" s="4">
        <v>8132586508</v>
      </c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24"/>
  <sheetViews>
    <sheetView topLeftCell="A13" workbookViewId="0"/>
  </sheetViews>
  <sheetFormatPr baseColWidth="10" defaultRowHeight="15" x14ac:dyDescent="0.25"/>
  <cols>
    <col min="2" max="2" width="19.5703125" customWidth="1"/>
  </cols>
  <sheetData>
    <row r="1" spans="1:26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840</v>
      </c>
      <c r="G1" s="57"/>
      <c r="H1" s="57" t="s">
        <v>835</v>
      </c>
      <c r="I1" s="57" t="s">
        <v>836</v>
      </c>
      <c r="J1" s="57" t="s">
        <v>838</v>
      </c>
      <c r="K1" s="57"/>
      <c r="L1" s="57" t="s">
        <v>839</v>
      </c>
      <c r="M1" s="57" t="s">
        <v>841</v>
      </c>
      <c r="N1" s="57" t="s">
        <v>842</v>
      </c>
      <c r="O1" s="57"/>
      <c r="P1" s="57"/>
      <c r="Q1" s="57"/>
      <c r="R1" s="57"/>
      <c r="S1" s="57"/>
      <c r="T1" s="57"/>
      <c r="U1" s="57"/>
      <c r="V1" s="57"/>
      <c r="W1" s="57" t="s">
        <v>270</v>
      </c>
      <c r="X1" s="57" t="s">
        <v>271</v>
      </c>
      <c r="Y1" s="61" t="s">
        <v>833</v>
      </c>
    </row>
    <row r="2" spans="1:26" x14ac:dyDescent="0.25">
      <c r="A2" s="8" t="s">
        <v>1420</v>
      </c>
      <c r="B2" s="4" t="s">
        <v>1736</v>
      </c>
      <c r="C2" s="5" t="s">
        <v>1502</v>
      </c>
      <c r="D2" s="4"/>
      <c r="E2" s="4" t="s">
        <v>657</v>
      </c>
      <c r="F2" s="4">
        <v>2070</v>
      </c>
      <c r="G2" s="4"/>
      <c r="H2" s="4" t="s">
        <v>1733</v>
      </c>
      <c r="I2" s="4" t="s">
        <v>1732</v>
      </c>
      <c r="J2" s="4" t="s">
        <v>1734</v>
      </c>
      <c r="K2" s="4">
        <v>4330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>
        <v>11500</v>
      </c>
      <c r="X2" s="4">
        <v>8120190596</v>
      </c>
      <c r="Y2" t="s">
        <v>883</v>
      </c>
      <c r="Z2" t="s">
        <v>969</v>
      </c>
    </row>
    <row r="3" spans="1:26" x14ac:dyDescent="0.25">
      <c r="A3" s="8">
        <v>43897</v>
      </c>
      <c r="B3" s="4" t="s">
        <v>666</v>
      </c>
      <c r="C3" s="8">
        <v>44136</v>
      </c>
      <c r="D3" s="4"/>
      <c r="E3" s="4" t="s">
        <v>938</v>
      </c>
      <c r="F3" s="4">
        <v>2556</v>
      </c>
      <c r="G3" s="4"/>
      <c r="H3" s="4">
        <v>2200</v>
      </c>
      <c r="I3" s="4">
        <v>2200</v>
      </c>
      <c r="J3" s="4">
        <v>3000</v>
      </c>
      <c r="K3" s="4"/>
      <c r="L3" s="4">
        <v>2200</v>
      </c>
      <c r="M3" s="4">
        <v>724</v>
      </c>
      <c r="N3" s="4">
        <v>500</v>
      </c>
      <c r="O3" s="4"/>
      <c r="P3" s="4"/>
      <c r="Q3" s="4"/>
      <c r="R3" s="4">
        <v>100</v>
      </c>
      <c r="S3" s="4"/>
      <c r="T3" s="4"/>
      <c r="U3" s="4"/>
      <c r="V3" s="4"/>
      <c r="W3" s="4">
        <v>13380</v>
      </c>
      <c r="X3" s="4">
        <v>8126912648</v>
      </c>
      <c r="Y3" t="s">
        <v>575</v>
      </c>
    </row>
    <row r="4" spans="1:26" x14ac:dyDescent="0.25">
      <c r="A4" s="8">
        <v>43897</v>
      </c>
      <c r="B4" s="4" t="s">
        <v>667</v>
      </c>
      <c r="C4" s="8">
        <v>44079</v>
      </c>
      <c r="D4" s="4"/>
      <c r="E4" s="4" t="s">
        <v>668</v>
      </c>
      <c r="F4" s="4">
        <v>2000</v>
      </c>
      <c r="G4" s="4"/>
      <c r="H4" s="4">
        <v>400</v>
      </c>
      <c r="I4" s="4">
        <v>2400</v>
      </c>
      <c r="J4" s="4">
        <v>2400</v>
      </c>
      <c r="K4" s="4"/>
      <c r="L4" s="4">
        <v>2400</v>
      </c>
      <c r="M4" s="4">
        <v>2500</v>
      </c>
      <c r="N4" s="4"/>
      <c r="O4" s="4"/>
      <c r="P4" s="4"/>
      <c r="Q4" s="4"/>
      <c r="R4" s="4"/>
      <c r="S4" s="4"/>
      <c r="T4" s="4"/>
      <c r="U4" s="4"/>
      <c r="V4" s="4"/>
      <c r="W4" s="4">
        <v>12000</v>
      </c>
      <c r="X4" s="4">
        <v>8113683192</v>
      </c>
    </row>
    <row r="5" spans="1:26" x14ac:dyDescent="0.25">
      <c r="A5" s="8">
        <v>43897</v>
      </c>
      <c r="B5" s="4" t="s">
        <v>905</v>
      </c>
      <c r="C5" s="8">
        <v>44610</v>
      </c>
      <c r="D5" s="4"/>
      <c r="E5" s="4" t="s">
        <v>1988</v>
      </c>
      <c r="F5" s="4">
        <v>1000</v>
      </c>
      <c r="G5" s="4"/>
      <c r="H5" s="4">
        <v>1556</v>
      </c>
      <c r="I5" s="4">
        <v>852</v>
      </c>
      <c r="J5" s="4">
        <v>850</v>
      </c>
      <c r="K5" s="4">
        <v>850</v>
      </c>
      <c r="L5" s="4">
        <v>850</v>
      </c>
      <c r="M5" s="4">
        <v>850</v>
      </c>
      <c r="N5" s="4">
        <v>850</v>
      </c>
      <c r="O5" s="4">
        <v>850</v>
      </c>
      <c r="P5" s="4">
        <v>850</v>
      </c>
      <c r="Q5" s="4" t="s">
        <v>1024</v>
      </c>
      <c r="R5" s="34">
        <v>850</v>
      </c>
      <c r="S5" s="34" t="s">
        <v>1231</v>
      </c>
      <c r="T5" s="34" t="s">
        <v>1334</v>
      </c>
      <c r="U5" s="34" t="s">
        <v>1989</v>
      </c>
      <c r="V5" s="34" t="s">
        <v>2256</v>
      </c>
      <c r="W5" s="4">
        <v>19100</v>
      </c>
      <c r="X5" s="4">
        <v>8115072429</v>
      </c>
    </row>
    <row r="6" spans="1:26" ht="60" x14ac:dyDescent="0.25">
      <c r="A6" s="8">
        <v>43897</v>
      </c>
      <c r="B6" s="4" t="s">
        <v>669</v>
      </c>
      <c r="C6" s="6">
        <v>44044</v>
      </c>
      <c r="D6" s="4"/>
      <c r="E6" s="40" t="s">
        <v>670</v>
      </c>
      <c r="F6" s="4">
        <v>2500</v>
      </c>
      <c r="G6" s="4"/>
      <c r="H6" s="4"/>
      <c r="I6" s="4">
        <v>3850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6350</v>
      </c>
      <c r="X6" s="4">
        <v>8121086896</v>
      </c>
    </row>
    <row r="7" spans="1:26" x14ac:dyDescent="0.25">
      <c r="A7" s="7">
        <v>43897</v>
      </c>
      <c r="B7" s="1" t="s">
        <v>671</v>
      </c>
      <c r="C7" s="7">
        <v>43939</v>
      </c>
      <c r="D7" s="1"/>
      <c r="E7" s="1" t="s">
        <v>672</v>
      </c>
      <c r="F7" s="1">
        <v>2000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3000</v>
      </c>
      <c r="X7" s="1">
        <v>8125606982</v>
      </c>
      <c r="Y7" t="s">
        <v>716</v>
      </c>
    </row>
    <row r="8" spans="1:26" x14ac:dyDescent="0.25">
      <c r="A8" s="8">
        <v>43900</v>
      </c>
      <c r="B8" s="4" t="s">
        <v>674</v>
      </c>
      <c r="C8" s="8">
        <v>43967</v>
      </c>
      <c r="D8" s="4"/>
      <c r="E8" s="4" t="s">
        <v>967</v>
      </c>
      <c r="F8" s="4">
        <v>2880</v>
      </c>
      <c r="G8" s="4">
        <v>4660</v>
      </c>
      <c r="H8" s="4">
        <v>500</v>
      </c>
      <c r="I8" s="4">
        <v>400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8700</v>
      </c>
      <c r="X8" s="4">
        <v>8121077544</v>
      </c>
    </row>
    <row r="9" spans="1:26" ht="75" x14ac:dyDescent="0.25">
      <c r="A9" s="8">
        <v>43901</v>
      </c>
      <c r="B9" s="4" t="s">
        <v>675</v>
      </c>
      <c r="C9" s="8">
        <v>44192</v>
      </c>
      <c r="D9" s="4"/>
      <c r="E9" s="40" t="s">
        <v>676</v>
      </c>
      <c r="F9" s="4">
        <v>2184</v>
      </c>
      <c r="G9" s="4">
        <v>1747</v>
      </c>
      <c r="H9" s="4">
        <v>3500</v>
      </c>
      <c r="I9" s="4">
        <v>1000</v>
      </c>
      <c r="J9" s="4">
        <v>3100</v>
      </c>
      <c r="K9" s="4">
        <v>289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11720</v>
      </c>
      <c r="X9" s="4">
        <v>8123365964</v>
      </c>
    </row>
    <row r="10" spans="1:26" x14ac:dyDescent="0.25">
      <c r="A10" s="4" t="s">
        <v>679</v>
      </c>
      <c r="B10" s="4" t="s">
        <v>680</v>
      </c>
      <c r="C10" s="4" t="s">
        <v>71</v>
      </c>
      <c r="D10" s="4"/>
      <c r="E10" s="4" t="s">
        <v>622</v>
      </c>
      <c r="F10" s="4">
        <v>3060</v>
      </c>
      <c r="G10" s="4"/>
      <c r="H10" s="4">
        <v>2295</v>
      </c>
      <c r="I10" s="4">
        <v>4645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9250</v>
      </c>
      <c r="X10" s="4"/>
    </row>
    <row r="11" spans="1:26" ht="105" x14ac:dyDescent="0.25">
      <c r="A11" s="4" t="s">
        <v>681</v>
      </c>
      <c r="B11" s="4" t="s">
        <v>692</v>
      </c>
      <c r="C11" s="5">
        <v>44149</v>
      </c>
      <c r="D11" s="4"/>
      <c r="E11" s="40" t="s">
        <v>882</v>
      </c>
      <c r="F11" s="4">
        <v>1200</v>
      </c>
      <c r="G11" s="4"/>
      <c r="H11" s="4">
        <v>1040</v>
      </c>
      <c r="I11" s="4">
        <v>1040</v>
      </c>
      <c r="J11" s="4">
        <v>600</v>
      </c>
      <c r="K11" s="4"/>
      <c r="L11" s="4">
        <v>400</v>
      </c>
      <c r="M11" s="4">
        <v>1040</v>
      </c>
      <c r="N11" s="4">
        <v>1100</v>
      </c>
      <c r="O11" s="4">
        <v>1530</v>
      </c>
      <c r="P11" s="4"/>
      <c r="Q11" s="4"/>
      <c r="R11" s="4">
        <v>550</v>
      </c>
      <c r="S11" s="4"/>
      <c r="T11" s="4"/>
      <c r="U11" s="4"/>
      <c r="V11" s="4"/>
      <c r="W11" s="4">
        <v>8500</v>
      </c>
      <c r="X11" s="4">
        <v>8116849717</v>
      </c>
    </row>
    <row r="12" spans="1:26" x14ac:dyDescent="0.25">
      <c r="A12" s="4" t="s">
        <v>682</v>
      </c>
      <c r="B12" s="4" t="s">
        <v>693</v>
      </c>
      <c r="C12" s="8">
        <v>44088</v>
      </c>
      <c r="D12" s="4"/>
      <c r="E12" s="4" t="s">
        <v>876</v>
      </c>
      <c r="F12" s="4">
        <v>1710</v>
      </c>
      <c r="G12" s="4"/>
      <c r="H12" s="4">
        <v>2300</v>
      </c>
      <c r="I12" s="4">
        <v>1350</v>
      </c>
      <c r="J12" s="4">
        <v>2500</v>
      </c>
      <c r="K12" s="4">
        <v>1000</v>
      </c>
      <c r="L12" s="4">
        <v>2000</v>
      </c>
      <c r="M12" s="4">
        <v>1040</v>
      </c>
      <c r="N12" s="4">
        <v>2350</v>
      </c>
      <c r="O12" s="4"/>
      <c r="P12" s="4"/>
      <c r="Q12" s="4"/>
      <c r="R12" s="4">
        <v>1160</v>
      </c>
      <c r="S12" s="4"/>
      <c r="T12" s="4"/>
      <c r="U12" s="4"/>
      <c r="V12" s="4"/>
      <c r="W12" s="4">
        <v>13100</v>
      </c>
      <c r="X12" s="4"/>
    </row>
    <row r="13" spans="1:26" x14ac:dyDescent="0.25">
      <c r="A13" s="4" t="s">
        <v>682</v>
      </c>
      <c r="B13" s="4" t="s">
        <v>797</v>
      </c>
      <c r="C13" s="4" t="s">
        <v>683</v>
      </c>
      <c r="D13" s="4"/>
      <c r="E13" s="4" t="s">
        <v>798</v>
      </c>
      <c r="F13" s="4">
        <v>1000</v>
      </c>
      <c r="G13" s="4"/>
      <c r="H13" s="4">
        <v>1046</v>
      </c>
      <c r="I13" s="4">
        <v>1046</v>
      </c>
      <c r="J13" s="4">
        <v>1045</v>
      </c>
      <c r="K13" s="4">
        <v>1047</v>
      </c>
      <c r="L13" s="4">
        <v>1047</v>
      </c>
      <c r="M13" s="4">
        <v>2089</v>
      </c>
      <c r="N13" s="4"/>
      <c r="O13" s="4"/>
      <c r="P13" s="4"/>
      <c r="Q13" s="4"/>
      <c r="R13" s="4"/>
      <c r="S13" s="4"/>
      <c r="T13" s="4"/>
      <c r="U13" s="4"/>
      <c r="V13" s="4"/>
      <c r="W13" s="4">
        <v>8320</v>
      </c>
      <c r="X13" s="4">
        <v>8123500686</v>
      </c>
    </row>
    <row r="14" spans="1:26" x14ac:dyDescent="0.25">
      <c r="A14" s="4" t="s">
        <v>682</v>
      </c>
      <c r="B14" s="4" t="s">
        <v>686</v>
      </c>
      <c r="C14" s="5">
        <v>43995</v>
      </c>
      <c r="D14" s="4"/>
      <c r="E14" s="4" t="s">
        <v>687</v>
      </c>
      <c r="F14" s="4">
        <v>4300</v>
      </c>
      <c r="G14" s="4"/>
      <c r="H14" s="4">
        <v>3000</v>
      </c>
      <c r="I14" s="4">
        <v>3220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>
        <v>10520</v>
      </c>
      <c r="X14" s="4">
        <v>8261954435</v>
      </c>
    </row>
    <row r="15" spans="1:26" x14ac:dyDescent="0.25">
      <c r="A15" s="4" t="s">
        <v>682</v>
      </c>
      <c r="B15" s="4" t="s">
        <v>684</v>
      </c>
      <c r="C15" s="5">
        <v>44023</v>
      </c>
      <c r="D15" s="4"/>
      <c r="E15" s="4" t="s">
        <v>685</v>
      </c>
      <c r="F15" s="4">
        <v>1800</v>
      </c>
      <c r="G15" s="4"/>
      <c r="H15" s="4">
        <v>1800</v>
      </c>
      <c r="I15" s="4">
        <v>2000</v>
      </c>
      <c r="J15" s="4">
        <v>3400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>
        <v>9000</v>
      </c>
      <c r="X15" s="4"/>
    </row>
    <row r="16" spans="1:26" x14ac:dyDescent="0.25">
      <c r="A16" s="4" t="s">
        <v>682</v>
      </c>
      <c r="B16" s="4" t="s">
        <v>688</v>
      </c>
      <c r="C16" s="5">
        <v>44126</v>
      </c>
      <c r="D16" s="4"/>
      <c r="E16" s="4" t="s">
        <v>689</v>
      </c>
      <c r="F16" s="4">
        <v>2300</v>
      </c>
      <c r="G16" s="4"/>
      <c r="H16" s="4">
        <v>2300</v>
      </c>
      <c r="I16" s="4">
        <v>2300</v>
      </c>
      <c r="J16" s="4">
        <v>2300</v>
      </c>
      <c r="K16" s="4">
        <v>2300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>
        <v>11470</v>
      </c>
      <c r="X16" s="4">
        <v>8123097989</v>
      </c>
    </row>
    <row r="17" spans="1:25" x14ac:dyDescent="0.25">
      <c r="A17" s="4" t="s">
        <v>870</v>
      </c>
      <c r="B17" s="4" t="s">
        <v>796</v>
      </c>
      <c r="C17" s="5" t="s">
        <v>832</v>
      </c>
      <c r="D17" s="4"/>
      <c r="E17" s="4" t="s">
        <v>943</v>
      </c>
      <c r="F17" s="4">
        <v>2000</v>
      </c>
      <c r="G17" s="4">
        <v>5000</v>
      </c>
      <c r="H17" s="4">
        <v>2950</v>
      </c>
      <c r="I17" s="4">
        <v>8450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>
        <v>18400</v>
      </c>
      <c r="X17" s="4">
        <v>8112013135</v>
      </c>
    </row>
    <row r="18" spans="1:25" x14ac:dyDescent="0.25">
      <c r="A18" s="5">
        <v>43906</v>
      </c>
      <c r="B18" s="4" t="s">
        <v>699</v>
      </c>
      <c r="C18" s="5">
        <v>44030</v>
      </c>
      <c r="D18" s="4" t="s">
        <v>803</v>
      </c>
      <c r="E18" s="4" t="s">
        <v>690</v>
      </c>
      <c r="F18" s="4">
        <v>2500</v>
      </c>
      <c r="G18" s="4"/>
      <c r="H18" s="4">
        <v>1700</v>
      </c>
      <c r="I18" s="4">
        <v>3200</v>
      </c>
      <c r="J18" s="4">
        <v>2000</v>
      </c>
      <c r="K18" s="4"/>
      <c r="L18" s="4">
        <v>1050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>
        <v>10450</v>
      </c>
      <c r="X18" s="4">
        <v>8110829289</v>
      </c>
    </row>
    <row r="19" spans="1:25" x14ac:dyDescent="0.25">
      <c r="A19" s="8">
        <v>43906</v>
      </c>
      <c r="B19" s="4" t="s">
        <v>736</v>
      </c>
      <c r="C19" s="5">
        <v>44065</v>
      </c>
      <c r="D19" s="4"/>
      <c r="E19" s="4" t="s">
        <v>745</v>
      </c>
      <c r="F19" s="4">
        <v>1540</v>
      </c>
      <c r="G19" s="4">
        <v>1000</v>
      </c>
      <c r="H19" s="4">
        <v>840</v>
      </c>
      <c r="I19" s="4">
        <v>400</v>
      </c>
      <c r="J19" s="4">
        <v>6920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10600</v>
      </c>
      <c r="X19" s="4">
        <v>8187053863</v>
      </c>
    </row>
    <row r="20" spans="1:25" x14ac:dyDescent="0.25">
      <c r="A20" s="8" t="s">
        <v>792</v>
      </c>
      <c r="B20" s="4" t="s">
        <v>694</v>
      </c>
      <c r="C20" s="8">
        <v>43975</v>
      </c>
      <c r="D20" s="4"/>
      <c r="E20" s="4" t="s">
        <v>622</v>
      </c>
      <c r="F20" s="4">
        <v>3400</v>
      </c>
      <c r="G20" s="4">
        <v>5200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8500</v>
      </c>
      <c r="X20" s="4">
        <v>8261626735</v>
      </c>
    </row>
    <row r="21" spans="1:25" ht="105" x14ac:dyDescent="0.25">
      <c r="A21" s="8">
        <v>43907</v>
      </c>
      <c r="B21" s="4" t="s">
        <v>695</v>
      </c>
      <c r="C21" s="8">
        <v>44051</v>
      </c>
      <c r="D21" s="4"/>
      <c r="E21" s="40" t="s">
        <v>861</v>
      </c>
      <c r="F21" s="4">
        <v>2000</v>
      </c>
      <c r="G21" s="4">
        <v>2000</v>
      </c>
      <c r="H21" s="4">
        <v>2000</v>
      </c>
      <c r="I21" s="4">
        <v>2000</v>
      </c>
      <c r="J21" s="4">
        <v>1520</v>
      </c>
      <c r="K21" s="4"/>
      <c r="L21" s="4">
        <v>400</v>
      </c>
      <c r="M21" s="4">
        <v>1900</v>
      </c>
      <c r="N21" s="4">
        <v>2000</v>
      </c>
      <c r="O21" s="4"/>
      <c r="P21" s="4"/>
      <c r="Q21" s="4"/>
      <c r="R21" s="4">
        <v>780</v>
      </c>
      <c r="S21" s="4"/>
      <c r="T21" s="4"/>
      <c r="U21" s="4"/>
      <c r="V21" s="4"/>
      <c r="W21" s="4">
        <v>14500</v>
      </c>
      <c r="X21" s="4">
        <v>8120048416</v>
      </c>
    </row>
    <row r="22" spans="1:25" x14ac:dyDescent="0.25">
      <c r="A22" s="8">
        <v>43907</v>
      </c>
      <c r="B22" s="4" t="s">
        <v>696</v>
      </c>
      <c r="C22" s="8">
        <v>44163</v>
      </c>
      <c r="D22" s="4"/>
      <c r="E22" s="4" t="s">
        <v>875</v>
      </c>
      <c r="F22" s="4">
        <v>800</v>
      </c>
      <c r="G22" s="4"/>
      <c r="H22" s="4">
        <v>1000</v>
      </c>
      <c r="I22" s="4">
        <v>1000</v>
      </c>
      <c r="J22" s="4">
        <v>1000</v>
      </c>
      <c r="K22" s="4">
        <v>1000</v>
      </c>
      <c r="L22" s="4">
        <v>500</v>
      </c>
      <c r="M22" s="4">
        <v>2350</v>
      </c>
      <c r="N22" s="4">
        <v>1800</v>
      </c>
      <c r="O22" s="4"/>
      <c r="P22" s="4"/>
      <c r="Q22" s="4"/>
      <c r="R22" s="4"/>
      <c r="S22" s="4"/>
      <c r="T22" s="4"/>
      <c r="U22" s="4"/>
      <c r="V22" s="4"/>
      <c r="W22" s="4">
        <v>9450</v>
      </c>
      <c r="X22" s="4">
        <v>8124292472</v>
      </c>
    </row>
    <row r="23" spans="1:25" x14ac:dyDescent="0.25">
      <c r="A23" s="26">
        <v>43916</v>
      </c>
      <c r="B23" s="10" t="s">
        <v>705</v>
      </c>
      <c r="C23" s="26">
        <v>43965</v>
      </c>
      <c r="D23" s="10"/>
      <c r="E23" s="10" t="s">
        <v>706</v>
      </c>
      <c r="F23" s="10">
        <v>6180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15450</v>
      </c>
      <c r="X23" s="10">
        <v>8261547088</v>
      </c>
      <c r="Y23" t="s">
        <v>970</v>
      </c>
    </row>
    <row r="24" spans="1:25" x14ac:dyDescent="0.25">
      <c r="A24" s="8" t="s">
        <v>906</v>
      </c>
      <c r="B24" s="4" t="s">
        <v>707</v>
      </c>
      <c r="C24" s="8">
        <v>44149</v>
      </c>
      <c r="D24" s="4"/>
      <c r="E24" s="4" t="s">
        <v>184</v>
      </c>
      <c r="F24" s="4">
        <v>1500</v>
      </c>
      <c r="G24" s="4">
        <v>900</v>
      </c>
      <c r="H24" s="4">
        <v>900</v>
      </c>
      <c r="I24" s="4">
        <v>900</v>
      </c>
      <c r="J24" s="4">
        <v>2000</v>
      </c>
      <c r="K24" s="4">
        <v>1000</v>
      </c>
      <c r="L24" s="4">
        <v>450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7650</v>
      </c>
      <c r="X24" s="4">
        <v>8120496096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15"/>
  <sheetViews>
    <sheetView workbookViewId="0">
      <selection activeCell="B1" sqref="B1"/>
    </sheetView>
  </sheetViews>
  <sheetFormatPr baseColWidth="10" defaultRowHeight="15" x14ac:dyDescent="0.25"/>
  <cols>
    <col min="2" max="2" width="24.28515625" customWidth="1"/>
  </cols>
  <sheetData>
    <row r="1" spans="1:19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 t="s">
        <v>835</v>
      </c>
      <c r="H1" s="57" t="s">
        <v>836</v>
      </c>
      <c r="I1" s="57" t="s">
        <v>838</v>
      </c>
      <c r="J1" s="57" t="s">
        <v>839</v>
      </c>
      <c r="K1" s="57"/>
      <c r="L1" s="57"/>
      <c r="M1" s="57"/>
      <c r="N1" s="57"/>
      <c r="O1" s="57"/>
      <c r="P1" s="57"/>
      <c r="Q1" s="57" t="s">
        <v>270</v>
      </c>
      <c r="R1" s="57" t="s">
        <v>271</v>
      </c>
      <c r="S1" s="61" t="s">
        <v>833</v>
      </c>
    </row>
    <row r="2" spans="1:19" x14ac:dyDescent="0.25">
      <c r="A2" s="8">
        <v>43924</v>
      </c>
      <c r="B2" s="4" t="s">
        <v>204</v>
      </c>
      <c r="C2" s="8">
        <v>44121</v>
      </c>
      <c r="D2" s="4"/>
      <c r="E2" s="4" t="s">
        <v>709</v>
      </c>
      <c r="F2" s="4">
        <v>3000</v>
      </c>
      <c r="G2" s="4">
        <v>2350</v>
      </c>
      <c r="H2" s="4">
        <v>7050</v>
      </c>
      <c r="I2" s="4">
        <v>100</v>
      </c>
      <c r="J2" s="4"/>
      <c r="K2" s="4"/>
      <c r="L2" s="4"/>
      <c r="M2" s="4"/>
      <c r="N2" s="4"/>
      <c r="O2" s="4"/>
      <c r="P2" s="4">
        <v>12400</v>
      </c>
      <c r="Q2" s="36"/>
      <c r="R2" s="4">
        <v>8116093648</v>
      </c>
      <c r="S2" s="15" t="s">
        <v>744</v>
      </c>
    </row>
    <row r="3" spans="1:19" x14ac:dyDescent="0.25">
      <c r="A3" s="8">
        <v>43925</v>
      </c>
      <c r="B3" s="4" t="s">
        <v>710</v>
      </c>
      <c r="C3" s="8">
        <v>44366</v>
      </c>
      <c r="D3" s="4"/>
      <c r="E3" s="4" t="s">
        <v>779</v>
      </c>
      <c r="F3" s="4" t="s">
        <v>1612</v>
      </c>
      <c r="G3" s="4" t="s">
        <v>1611</v>
      </c>
      <c r="H3" s="4" t="s">
        <v>1609</v>
      </c>
      <c r="I3" s="4" t="s">
        <v>1610</v>
      </c>
      <c r="J3" s="4" t="s">
        <v>1618</v>
      </c>
      <c r="K3" s="4"/>
      <c r="L3" s="4"/>
      <c r="M3" s="4"/>
      <c r="N3" s="4"/>
      <c r="O3" s="4"/>
      <c r="P3" s="4">
        <v>11250</v>
      </c>
      <c r="Q3" s="36"/>
      <c r="R3" s="4">
        <v>8180942650</v>
      </c>
    </row>
    <row r="4" spans="1:19" x14ac:dyDescent="0.25">
      <c r="A4" s="8">
        <v>43925</v>
      </c>
      <c r="B4" s="4" t="s">
        <v>711</v>
      </c>
      <c r="C4" s="5">
        <v>44149</v>
      </c>
      <c r="D4" s="4"/>
      <c r="E4" s="4" t="s">
        <v>785</v>
      </c>
      <c r="F4" s="4">
        <v>3000</v>
      </c>
      <c r="G4" s="4">
        <v>3500</v>
      </c>
      <c r="H4" s="4">
        <v>1280</v>
      </c>
      <c r="I4" s="4">
        <v>3000</v>
      </c>
      <c r="J4" s="4">
        <v>7270</v>
      </c>
      <c r="K4" s="4"/>
      <c r="L4" s="4"/>
      <c r="M4" s="4"/>
      <c r="N4" s="4"/>
      <c r="O4" s="4"/>
      <c r="P4" s="4">
        <v>14750</v>
      </c>
      <c r="Q4" s="36"/>
      <c r="R4" s="4">
        <v>8125768562</v>
      </c>
    </row>
    <row r="5" spans="1:19" x14ac:dyDescent="0.25">
      <c r="A5" s="8">
        <v>43932</v>
      </c>
      <c r="B5" s="4" t="s">
        <v>719</v>
      </c>
      <c r="C5" s="8">
        <v>44501</v>
      </c>
      <c r="D5" s="4"/>
      <c r="E5" s="4" t="s">
        <v>274</v>
      </c>
      <c r="F5" s="4">
        <v>1980</v>
      </c>
      <c r="G5" s="4">
        <v>1586</v>
      </c>
      <c r="H5" s="4">
        <v>1586</v>
      </c>
      <c r="I5" s="4">
        <v>1586</v>
      </c>
      <c r="J5" s="4">
        <v>1586</v>
      </c>
      <c r="K5" s="4">
        <v>1576</v>
      </c>
      <c r="L5" s="4"/>
      <c r="M5" s="4"/>
      <c r="N5" s="4"/>
      <c r="O5" s="4"/>
      <c r="P5" s="4">
        <v>10500</v>
      </c>
      <c r="Q5" s="36"/>
      <c r="R5" s="4">
        <v>8115259379</v>
      </c>
    </row>
    <row r="6" spans="1:19" x14ac:dyDescent="0.25">
      <c r="A6" s="8">
        <v>43932</v>
      </c>
      <c r="B6" s="4" t="s">
        <v>755</v>
      </c>
      <c r="C6" s="6">
        <v>44136</v>
      </c>
      <c r="D6" s="4"/>
      <c r="E6" s="4" t="s">
        <v>1296</v>
      </c>
      <c r="F6" s="4">
        <v>2700</v>
      </c>
      <c r="G6" s="4">
        <v>2700</v>
      </c>
      <c r="H6" s="4">
        <v>2700</v>
      </c>
      <c r="I6" s="4">
        <v>2200</v>
      </c>
      <c r="J6" s="4">
        <v>3200</v>
      </c>
      <c r="K6" s="4"/>
      <c r="L6" s="4"/>
      <c r="M6" s="4"/>
      <c r="N6" s="4"/>
      <c r="O6" s="4"/>
      <c r="P6" s="4">
        <v>14100</v>
      </c>
      <c r="Q6" s="36"/>
      <c r="R6" s="4">
        <v>8115005182</v>
      </c>
    </row>
    <row r="7" spans="1:19" x14ac:dyDescent="0.25">
      <c r="A7" s="8">
        <v>106</v>
      </c>
      <c r="B7" s="4" t="s">
        <v>722</v>
      </c>
      <c r="C7" s="8">
        <v>44180</v>
      </c>
      <c r="D7" s="4"/>
      <c r="E7" s="4" t="s">
        <v>723</v>
      </c>
      <c r="F7" s="4">
        <v>2700</v>
      </c>
      <c r="G7" s="4">
        <v>1800</v>
      </c>
      <c r="H7" s="4">
        <v>1800</v>
      </c>
      <c r="I7" s="4">
        <v>1800</v>
      </c>
      <c r="J7" s="4">
        <v>1800</v>
      </c>
      <c r="K7" s="4">
        <v>1800</v>
      </c>
      <c r="L7" s="4">
        <v>1800</v>
      </c>
      <c r="M7" s="4"/>
      <c r="N7" s="4"/>
      <c r="O7" s="4"/>
      <c r="P7" s="4">
        <v>13500</v>
      </c>
      <c r="Q7" s="36"/>
      <c r="R7" s="4">
        <v>8120363873</v>
      </c>
    </row>
    <row r="8" spans="1:19" x14ac:dyDescent="0.25">
      <c r="A8" s="5">
        <v>43939</v>
      </c>
      <c r="B8" s="4" t="s">
        <v>724</v>
      </c>
      <c r="C8" s="4" t="s">
        <v>95</v>
      </c>
      <c r="D8" s="4"/>
      <c r="E8" s="4" t="s">
        <v>725</v>
      </c>
      <c r="F8" s="4">
        <v>4660</v>
      </c>
      <c r="G8" s="4">
        <v>3000</v>
      </c>
      <c r="H8" s="4">
        <v>2000</v>
      </c>
      <c r="I8" s="4">
        <v>1000</v>
      </c>
      <c r="J8" s="4">
        <v>1090</v>
      </c>
      <c r="K8" s="4"/>
      <c r="L8" s="4"/>
      <c r="M8" s="4"/>
      <c r="N8" s="4"/>
      <c r="O8" s="4"/>
      <c r="P8" s="4">
        <v>11650</v>
      </c>
      <c r="Q8" s="36"/>
      <c r="R8" s="4">
        <v>8131000195</v>
      </c>
    </row>
    <row r="9" spans="1:19" x14ac:dyDescent="0.25">
      <c r="A9" s="5">
        <v>43939</v>
      </c>
      <c r="B9" s="4" t="s">
        <v>761</v>
      </c>
      <c r="C9" s="6" t="s">
        <v>865</v>
      </c>
      <c r="D9" s="4"/>
      <c r="E9" s="4" t="s">
        <v>2262</v>
      </c>
      <c r="F9" s="4">
        <v>2500</v>
      </c>
      <c r="G9" s="4">
        <v>300</v>
      </c>
      <c r="H9" s="4">
        <v>3000</v>
      </c>
      <c r="I9" s="4">
        <v>2500</v>
      </c>
      <c r="J9" s="4">
        <v>160</v>
      </c>
      <c r="K9" s="4">
        <v>2500</v>
      </c>
      <c r="L9" s="4">
        <v>325</v>
      </c>
      <c r="M9" s="4">
        <v>1800</v>
      </c>
      <c r="N9" s="4" t="s">
        <v>2055</v>
      </c>
      <c r="O9" s="4" t="s">
        <v>2263</v>
      </c>
      <c r="P9" s="4">
        <v>14700</v>
      </c>
      <c r="Q9" s="36"/>
      <c r="R9" s="4">
        <v>8115166672</v>
      </c>
    </row>
    <row r="10" spans="1:19" x14ac:dyDescent="0.25">
      <c r="A10" s="33">
        <v>43939</v>
      </c>
      <c r="B10" s="10" t="s">
        <v>726</v>
      </c>
      <c r="C10" s="33">
        <v>44191</v>
      </c>
      <c r="D10" s="10"/>
      <c r="E10" s="10" t="s">
        <v>853</v>
      </c>
      <c r="F10" s="10">
        <v>2004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10020</v>
      </c>
      <c r="R10" s="10"/>
      <c r="S10" t="s">
        <v>900</v>
      </c>
    </row>
    <row r="11" spans="1:19" x14ac:dyDescent="0.25">
      <c r="A11" s="5">
        <v>43939</v>
      </c>
      <c r="B11" s="4" t="s">
        <v>729</v>
      </c>
      <c r="C11" s="6" t="s">
        <v>859</v>
      </c>
      <c r="D11" s="4"/>
      <c r="E11" s="4" t="s">
        <v>581</v>
      </c>
      <c r="F11" s="4">
        <v>2880</v>
      </c>
      <c r="G11" s="4">
        <v>4608</v>
      </c>
      <c r="H11" s="4">
        <v>2500</v>
      </c>
      <c r="I11" s="4">
        <v>2500</v>
      </c>
      <c r="J11" s="4">
        <v>2012</v>
      </c>
      <c r="K11" s="4"/>
      <c r="L11" s="4"/>
      <c r="M11" s="4"/>
      <c r="N11" s="4"/>
      <c r="O11" s="4"/>
      <c r="P11" s="4">
        <v>14400</v>
      </c>
      <c r="Q11" s="36"/>
      <c r="R11" s="4"/>
    </row>
    <row r="12" spans="1:19" x14ac:dyDescent="0.25">
      <c r="A12" s="8">
        <v>43945</v>
      </c>
      <c r="B12" s="4" t="s">
        <v>734</v>
      </c>
      <c r="C12" s="8">
        <v>44211</v>
      </c>
      <c r="D12" s="4"/>
      <c r="E12" s="4" t="s">
        <v>735</v>
      </c>
      <c r="F12" s="4">
        <v>700</v>
      </c>
      <c r="G12" s="4">
        <v>800</v>
      </c>
      <c r="H12" s="4">
        <v>1000</v>
      </c>
      <c r="I12" s="4">
        <v>4250</v>
      </c>
      <c r="J12" s="4"/>
      <c r="K12" s="4"/>
      <c r="L12" s="4"/>
      <c r="M12" s="4"/>
      <c r="N12" s="4"/>
      <c r="O12" s="4"/>
      <c r="P12" s="4">
        <v>6750</v>
      </c>
      <c r="Q12" s="36"/>
      <c r="R12" s="4">
        <v>8123417709</v>
      </c>
    </row>
    <row r="13" spans="1:19" x14ac:dyDescent="0.25">
      <c r="A13" s="8">
        <v>43946</v>
      </c>
      <c r="B13" s="4" t="s">
        <v>738</v>
      </c>
      <c r="C13" s="8">
        <v>44275</v>
      </c>
      <c r="D13" s="4"/>
      <c r="E13" s="4" t="s">
        <v>1107</v>
      </c>
      <c r="F13" s="4">
        <v>2000</v>
      </c>
      <c r="G13" s="4">
        <v>2000</v>
      </c>
      <c r="H13" s="4">
        <v>2000</v>
      </c>
      <c r="I13" s="4">
        <v>2000</v>
      </c>
      <c r="J13" s="4">
        <v>1450</v>
      </c>
      <c r="K13" s="4">
        <v>100</v>
      </c>
      <c r="L13" s="4">
        <v>320</v>
      </c>
      <c r="M13" s="4"/>
      <c r="N13" s="4"/>
      <c r="O13" s="4"/>
      <c r="P13" s="4">
        <v>10250</v>
      </c>
      <c r="Q13" s="36"/>
      <c r="R13" s="4">
        <v>8187093215</v>
      </c>
    </row>
    <row r="14" spans="1:19" ht="75" x14ac:dyDescent="0.25">
      <c r="A14" s="8">
        <v>43946</v>
      </c>
      <c r="B14" s="4" t="s">
        <v>141</v>
      </c>
      <c r="C14" s="8">
        <v>44267</v>
      </c>
      <c r="D14" s="4"/>
      <c r="E14" s="40" t="s">
        <v>743</v>
      </c>
      <c r="F14" s="4">
        <v>1000</v>
      </c>
      <c r="G14" s="4">
        <v>2000</v>
      </c>
      <c r="H14" s="4">
        <v>2680</v>
      </c>
      <c r="I14" s="4">
        <v>9120</v>
      </c>
      <c r="J14" s="4"/>
      <c r="K14" s="4"/>
      <c r="L14" s="4"/>
      <c r="M14" s="4"/>
      <c r="N14" s="4"/>
      <c r="O14" s="4"/>
      <c r="P14" s="4">
        <v>14200</v>
      </c>
      <c r="Q14" s="36"/>
      <c r="R14" s="4">
        <v>8110101502</v>
      </c>
    </row>
    <row r="15" spans="1:19" x14ac:dyDescent="0.25">
      <c r="A15" s="1"/>
      <c r="B15" s="1"/>
      <c r="C15" s="1"/>
      <c r="D15" s="1"/>
      <c r="E15" s="1" t="s">
        <v>866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20"/>
  <sheetViews>
    <sheetView topLeftCell="A7" workbookViewId="0"/>
  </sheetViews>
  <sheetFormatPr baseColWidth="10" defaultRowHeight="15" x14ac:dyDescent="0.25"/>
  <cols>
    <col min="2" max="2" width="22.140625" customWidth="1"/>
  </cols>
  <sheetData>
    <row r="1" spans="1:21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837</v>
      </c>
      <c r="G1" s="57" t="s">
        <v>835</v>
      </c>
      <c r="H1" s="57" t="s">
        <v>836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 t="s">
        <v>270</v>
      </c>
      <c r="T1" s="57" t="s">
        <v>271</v>
      </c>
      <c r="U1" s="60" t="s">
        <v>833</v>
      </c>
    </row>
    <row r="2" spans="1:21" x14ac:dyDescent="0.25">
      <c r="A2" s="8">
        <v>43953</v>
      </c>
      <c r="B2" s="4" t="s">
        <v>747</v>
      </c>
      <c r="C2" s="8">
        <v>44107</v>
      </c>
      <c r="D2" s="4"/>
      <c r="E2" s="4" t="s">
        <v>748</v>
      </c>
      <c r="F2" s="4">
        <v>2880</v>
      </c>
      <c r="G2" s="4">
        <v>3000</v>
      </c>
      <c r="H2" s="4">
        <v>2880</v>
      </c>
      <c r="I2" s="4">
        <v>2880</v>
      </c>
      <c r="J2" s="4">
        <v>2760</v>
      </c>
      <c r="K2" s="4"/>
      <c r="L2" s="4"/>
      <c r="M2" s="4"/>
      <c r="N2" s="4"/>
      <c r="O2" s="4"/>
      <c r="P2" s="4"/>
      <c r="Q2" s="4"/>
      <c r="R2" s="4"/>
      <c r="S2" s="4">
        <v>14400</v>
      </c>
      <c r="T2" s="4">
        <v>8123580023</v>
      </c>
    </row>
    <row r="3" spans="1:21" x14ac:dyDescent="0.25">
      <c r="A3" s="8">
        <v>43953</v>
      </c>
      <c r="B3" s="4" t="s">
        <v>821</v>
      </c>
      <c r="C3" s="8" t="s">
        <v>854</v>
      </c>
      <c r="D3" s="4"/>
      <c r="E3" s="4" t="s">
        <v>723</v>
      </c>
      <c r="F3" s="4">
        <v>2700</v>
      </c>
      <c r="G3" s="4">
        <v>2700</v>
      </c>
      <c r="H3" s="4">
        <v>2700</v>
      </c>
      <c r="I3" s="4">
        <v>2700</v>
      </c>
      <c r="J3" s="4">
        <v>2800</v>
      </c>
      <c r="K3" s="4"/>
      <c r="L3" s="4"/>
      <c r="M3" s="4"/>
      <c r="N3" s="4"/>
      <c r="O3" s="4"/>
      <c r="P3" s="4"/>
      <c r="Q3" s="4"/>
      <c r="R3" s="4"/>
      <c r="S3" s="4">
        <v>13500</v>
      </c>
      <c r="T3" s="4">
        <v>8187065389</v>
      </c>
    </row>
    <row r="4" spans="1:21" x14ac:dyDescent="0.25">
      <c r="A4" s="8">
        <v>43957</v>
      </c>
      <c r="B4" s="4" t="s">
        <v>752</v>
      </c>
      <c r="C4" s="8">
        <v>44128</v>
      </c>
      <c r="D4" s="4"/>
      <c r="E4" s="4" t="s">
        <v>1543</v>
      </c>
      <c r="F4" s="4">
        <v>5500</v>
      </c>
      <c r="G4" s="4">
        <v>2000</v>
      </c>
      <c r="H4" s="4">
        <v>2000</v>
      </c>
      <c r="I4" s="4">
        <v>2000</v>
      </c>
      <c r="J4" s="4">
        <v>2100</v>
      </c>
      <c r="K4" s="4" t="s">
        <v>1544</v>
      </c>
      <c r="L4" s="4"/>
      <c r="M4" s="4"/>
      <c r="N4" s="4"/>
      <c r="O4" s="4"/>
      <c r="P4" s="4"/>
      <c r="Q4" s="4"/>
      <c r="R4" s="4"/>
      <c r="S4" s="4">
        <v>13500</v>
      </c>
      <c r="T4" s="4">
        <v>8116531564</v>
      </c>
    </row>
    <row r="5" spans="1:21" x14ac:dyDescent="0.25">
      <c r="A5" s="8">
        <v>43957</v>
      </c>
      <c r="B5" s="4" t="s">
        <v>754</v>
      </c>
      <c r="C5" s="8">
        <v>44107</v>
      </c>
      <c r="D5" s="4"/>
      <c r="E5" s="4" t="s">
        <v>723</v>
      </c>
      <c r="F5" s="4">
        <v>5500</v>
      </c>
      <c r="G5" s="4">
        <v>1000</v>
      </c>
      <c r="H5" s="4">
        <v>1000</v>
      </c>
      <c r="I5" s="4">
        <v>1000</v>
      </c>
      <c r="J5" s="4">
        <v>2500</v>
      </c>
      <c r="K5" s="4">
        <v>2500</v>
      </c>
      <c r="L5" s="4">
        <v>100</v>
      </c>
      <c r="M5" s="4"/>
      <c r="N5" s="4"/>
      <c r="O5" s="4"/>
      <c r="P5" s="4"/>
      <c r="Q5" s="4"/>
      <c r="R5" s="4"/>
      <c r="S5" s="4">
        <v>13500</v>
      </c>
      <c r="T5" s="4">
        <v>8118235982</v>
      </c>
    </row>
    <row r="6" spans="1:21" x14ac:dyDescent="0.25">
      <c r="A6" s="8">
        <v>43959</v>
      </c>
      <c r="B6" s="4" t="s">
        <v>756</v>
      </c>
      <c r="C6" s="8">
        <v>44163</v>
      </c>
      <c r="D6" s="4"/>
      <c r="E6" s="4" t="s">
        <v>1404</v>
      </c>
      <c r="F6" s="4">
        <v>2000</v>
      </c>
      <c r="G6" s="4">
        <v>1580</v>
      </c>
      <c r="H6" s="4">
        <v>1580</v>
      </c>
      <c r="I6" s="4">
        <v>1580</v>
      </c>
      <c r="J6" s="4">
        <v>1580</v>
      </c>
      <c r="K6" s="4">
        <v>1680</v>
      </c>
      <c r="L6" s="4">
        <v>400</v>
      </c>
      <c r="M6" s="4" t="s">
        <v>1479</v>
      </c>
      <c r="N6" s="4"/>
      <c r="O6" s="4"/>
      <c r="P6" s="4"/>
      <c r="Q6" s="4"/>
      <c r="R6" s="4"/>
      <c r="S6" s="4">
        <v>10900</v>
      </c>
      <c r="T6" s="4">
        <v>8181750141</v>
      </c>
    </row>
    <row r="7" spans="1:21" x14ac:dyDescent="0.25">
      <c r="A7" s="8">
        <v>43960</v>
      </c>
      <c r="B7" s="4" t="s">
        <v>884</v>
      </c>
      <c r="C7" s="6">
        <v>44348</v>
      </c>
      <c r="D7" s="4"/>
      <c r="E7" s="4" t="s">
        <v>1466</v>
      </c>
      <c r="F7" s="4">
        <v>2070</v>
      </c>
      <c r="G7" s="4">
        <v>1100</v>
      </c>
      <c r="H7" s="4">
        <v>1100</v>
      </c>
      <c r="I7" s="4">
        <v>1100</v>
      </c>
      <c r="J7" s="4">
        <v>1100</v>
      </c>
      <c r="K7" s="4">
        <v>1100</v>
      </c>
      <c r="L7" s="4">
        <v>1100</v>
      </c>
      <c r="M7" s="4">
        <v>1100</v>
      </c>
      <c r="N7" s="4" t="s">
        <v>1038</v>
      </c>
      <c r="O7" s="36" t="s">
        <v>1163</v>
      </c>
      <c r="P7" s="36" t="s">
        <v>1467</v>
      </c>
      <c r="Q7" s="36" t="s">
        <v>1557</v>
      </c>
      <c r="R7" s="36">
        <v>250</v>
      </c>
      <c r="S7" s="4">
        <v>12300</v>
      </c>
      <c r="T7" s="4">
        <v>8124027767</v>
      </c>
      <c r="U7" s="15"/>
    </row>
    <row r="8" spans="1:21" x14ac:dyDescent="0.25">
      <c r="A8" s="8">
        <v>43960</v>
      </c>
      <c r="B8" s="4" t="s">
        <v>153</v>
      </c>
      <c r="C8" s="8">
        <v>44115</v>
      </c>
      <c r="D8" s="4"/>
      <c r="E8" s="4" t="s">
        <v>758</v>
      </c>
      <c r="F8" s="4">
        <v>2000</v>
      </c>
      <c r="G8" s="4">
        <v>2000</v>
      </c>
      <c r="H8" s="4">
        <v>2000</v>
      </c>
      <c r="I8" s="4">
        <v>4000</v>
      </c>
      <c r="J8" s="4"/>
      <c r="K8" s="4"/>
      <c r="L8" s="4"/>
      <c r="M8" s="4"/>
      <c r="N8" s="4"/>
      <c r="O8" s="4"/>
      <c r="P8" s="4"/>
      <c r="Q8" s="4"/>
      <c r="R8" s="4"/>
      <c r="S8" s="4">
        <v>9900</v>
      </c>
      <c r="T8" s="4">
        <v>8116537810</v>
      </c>
    </row>
    <row r="9" spans="1:21" x14ac:dyDescent="0.25">
      <c r="A9" s="48">
        <v>43960</v>
      </c>
      <c r="B9" s="34" t="s">
        <v>759</v>
      </c>
      <c r="C9" s="48">
        <v>44135</v>
      </c>
      <c r="D9" s="36"/>
      <c r="E9" s="34" t="s">
        <v>926</v>
      </c>
      <c r="F9" s="34">
        <v>3000</v>
      </c>
      <c r="G9" s="34">
        <v>3500</v>
      </c>
      <c r="H9" s="4">
        <v>3000</v>
      </c>
      <c r="I9" s="34">
        <v>3000</v>
      </c>
      <c r="J9" s="34">
        <v>250</v>
      </c>
      <c r="K9" s="34">
        <v>2700</v>
      </c>
      <c r="L9" s="36">
        <v>40</v>
      </c>
      <c r="M9" s="36"/>
      <c r="N9" s="36"/>
      <c r="O9" s="36"/>
      <c r="P9" s="36"/>
      <c r="Q9" s="36"/>
      <c r="R9" s="36"/>
      <c r="S9" s="34">
        <v>15140</v>
      </c>
      <c r="T9" s="34">
        <v>8114682475</v>
      </c>
    </row>
    <row r="10" spans="1:21" x14ac:dyDescent="0.25">
      <c r="A10" s="8">
        <v>43965</v>
      </c>
      <c r="B10" s="4" t="s">
        <v>762</v>
      </c>
      <c r="C10" s="8">
        <v>44380</v>
      </c>
      <c r="D10" s="4"/>
      <c r="E10" s="4" t="s">
        <v>186</v>
      </c>
      <c r="F10" s="4">
        <v>2000</v>
      </c>
      <c r="G10" s="4">
        <v>1000</v>
      </c>
      <c r="H10" s="4">
        <v>1000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4000</v>
      </c>
      <c r="T10" s="4">
        <v>8112170933</v>
      </c>
    </row>
    <row r="11" spans="1:21" x14ac:dyDescent="0.25">
      <c r="A11" s="8">
        <v>43966</v>
      </c>
      <c r="B11" s="4" t="s">
        <v>889</v>
      </c>
      <c r="C11" s="8">
        <v>44289</v>
      </c>
      <c r="D11" s="4"/>
      <c r="E11" s="4" t="s">
        <v>1033</v>
      </c>
      <c r="F11" s="4">
        <v>2000</v>
      </c>
      <c r="G11" s="4">
        <v>900</v>
      </c>
      <c r="H11" s="4">
        <v>900</v>
      </c>
      <c r="I11" s="4">
        <v>900</v>
      </c>
      <c r="J11" s="4">
        <v>900</v>
      </c>
      <c r="K11" s="4">
        <v>900</v>
      </c>
      <c r="L11" s="4">
        <v>900</v>
      </c>
      <c r="M11" s="4" t="s">
        <v>1012</v>
      </c>
      <c r="N11" s="36" t="s">
        <v>1013</v>
      </c>
      <c r="O11" s="36" t="s">
        <v>1081</v>
      </c>
      <c r="P11" s="36"/>
      <c r="Q11" s="36"/>
      <c r="R11" s="36"/>
      <c r="S11" s="4">
        <v>10800</v>
      </c>
      <c r="T11" s="4">
        <v>8110249524</v>
      </c>
    </row>
    <row r="12" spans="1:21" x14ac:dyDescent="0.25">
      <c r="A12" s="4" t="s">
        <v>763</v>
      </c>
      <c r="B12" s="4" t="s">
        <v>764</v>
      </c>
      <c r="C12" s="8">
        <v>44148</v>
      </c>
      <c r="D12" s="4"/>
      <c r="E12" s="4" t="s">
        <v>815</v>
      </c>
      <c r="F12" s="4" t="s">
        <v>765</v>
      </c>
      <c r="G12" s="4">
        <v>3000</v>
      </c>
      <c r="H12" s="4">
        <v>3000</v>
      </c>
      <c r="I12" s="4">
        <v>3000</v>
      </c>
      <c r="J12" s="4">
        <v>2590</v>
      </c>
      <c r="K12" s="4"/>
      <c r="L12" s="4"/>
      <c r="M12" s="4"/>
      <c r="N12" s="4"/>
      <c r="O12" s="4"/>
      <c r="P12" s="4"/>
      <c r="Q12" s="4"/>
      <c r="R12" s="4"/>
      <c r="S12" s="4">
        <v>14450</v>
      </c>
      <c r="T12" s="4">
        <v>8111761809</v>
      </c>
    </row>
    <row r="13" spans="1:21" x14ac:dyDescent="0.25">
      <c r="A13" s="4" t="s">
        <v>763</v>
      </c>
      <c r="B13" s="4" t="s">
        <v>857</v>
      </c>
      <c r="C13" s="8">
        <v>44065</v>
      </c>
      <c r="D13" s="4"/>
      <c r="E13" s="4" t="s">
        <v>858</v>
      </c>
      <c r="F13" s="4" t="s">
        <v>766</v>
      </c>
      <c r="G13" s="4">
        <v>3000</v>
      </c>
      <c r="H13" s="4">
        <v>1000</v>
      </c>
      <c r="I13" s="4">
        <v>3050</v>
      </c>
      <c r="J13" s="4"/>
      <c r="K13" s="4"/>
      <c r="L13" s="4"/>
      <c r="M13" s="4"/>
      <c r="N13" s="4"/>
      <c r="O13" s="4"/>
      <c r="P13" s="4"/>
      <c r="Q13" s="4"/>
      <c r="R13" s="4"/>
      <c r="S13" s="4">
        <v>9950</v>
      </c>
      <c r="T13" s="4">
        <v>8118845102</v>
      </c>
    </row>
    <row r="14" spans="1:21" x14ac:dyDescent="0.25">
      <c r="A14" s="10" t="s">
        <v>763</v>
      </c>
      <c r="B14" s="10" t="s">
        <v>767</v>
      </c>
      <c r="C14" s="26">
        <v>44107</v>
      </c>
      <c r="D14" s="10"/>
      <c r="E14" s="10" t="s">
        <v>588</v>
      </c>
      <c r="F14" s="10">
        <v>740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3700</v>
      </c>
      <c r="T14" s="10">
        <v>8186021169</v>
      </c>
    </row>
    <row r="15" spans="1:21" ht="45" x14ac:dyDescent="0.25">
      <c r="A15" s="8">
        <v>43974</v>
      </c>
      <c r="B15" s="4" t="s">
        <v>771</v>
      </c>
      <c r="C15" s="8">
        <v>44127</v>
      </c>
      <c r="D15" s="4"/>
      <c r="E15" s="40" t="s">
        <v>772</v>
      </c>
      <c r="F15" s="4">
        <v>4580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4580</v>
      </c>
      <c r="T15" s="4"/>
    </row>
    <row r="16" spans="1:21" ht="90" x14ac:dyDescent="0.25">
      <c r="A16" s="8">
        <v>43974</v>
      </c>
      <c r="B16" s="4" t="s">
        <v>799</v>
      </c>
      <c r="C16" s="8">
        <v>44330</v>
      </c>
      <c r="D16" s="4"/>
      <c r="E16" s="40" t="s">
        <v>1030</v>
      </c>
      <c r="F16" s="4">
        <v>1620</v>
      </c>
      <c r="G16" s="4">
        <v>810</v>
      </c>
      <c r="H16" s="4">
        <v>800</v>
      </c>
      <c r="I16" s="4">
        <v>810</v>
      </c>
      <c r="J16" s="4">
        <v>810</v>
      </c>
      <c r="K16" s="4">
        <v>810</v>
      </c>
      <c r="L16" s="4">
        <v>810</v>
      </c>
      <c r="M16" s="4" t="s">
        <v>1014</v>
      </c>
      <c r="N16" s="4" t="s">
        <v>1031</v>
      </c>
      <c r="O16" s="4" t="s">
        <v>1129</v>
      </c>
      <c r="P16" s="4" t="s">
        <v>1326</v>
      </c>
      <c r="Q16" s="4"/>
      <c r="R16" s="4"/>
      <c r="S16" s="4">
        <v>13300</v>
      </c>
      <c r="T16" s="4">
        <v>8113239298</v>
      </c>
    </row>
    <row r="17" spans="1:20" x14ac:dyDescent="0.25">
      <c r="A17" s="8">
        <v>43974</v>
      </c>
      <c r="B17" s="4" t="s">
        <v>773</v>
      </c>
      <c r="C17" s="8">
        <v>44150</v>
      </c>
      <c r="D17" s="4"/>
      <c r="E17" s="4" t="s">
        <v>622</v>
      </c>
      <c r="F17" s="4">
        <v>1620</v>
      </c>
      <c r="G17" s="4">
        <v>1620</v>
      </c>
      <c r="H17" s="4">
        <v>1360</v>
      </c>
      <c r="I17" s="4">
        <v>1300</v>
      </c>
      <c r="J17" s="4">
        <v>2200</v>
      </c>
      <c r="K17" s="4"/>
      <c r="L17" s="4"/>
      <c r="M17" s="4"/>
      <c r="N17" s="4"/>
      <c r="O17" s="4"/>
      <c r="P17" s="4"/>
      <c r="Q17" s="4"/>
      <c r="R17" s="4"/>
      <c r="S17" s="4">
        <v>8100</v>
      </c>
      <c r="T17" s="4">
        <v>8182569654</v>
      </c>
    </row>
    <row r="18" spans="1:20" x14ac:dyDescent="0.25">
      <c r="A18" s="8">
        <v>43981</v>
      </c>
      <c r="B18" s="4" t="s">
        <v>776</v>
      </c>
      <c r="C18" s="8">
        <v>44170</v>
      </c>
      <c r="D18" s="4"/>
      <c r="E18" s="4" t="s">
        <v>777</v>
      </c>
      <c r="F18" s="4">
        <v>1500</v>
      </c>
      <c r="G18" s="4">
        <v>380</v>
      </c>
      <c r="H18" s="4">
        <v>1500</v>
      </c>
      <c r="I18" s="4">
        <v>1500</v>
      </c>
      <c r="J18" s="4">
        <v>1500</v>
      </c>
      <c r="K18" s="4">
        <v>1500</v>
      </c>
      <c r="L18" s="4">
        <v>1620</v>
      </c>
      <c r="M18" s="4"/>
      <c r="N18" s="4"/>
      <c r="O18" s="4"/>
      <c r="P18" s="4"/>
      <c r="Q18" s="4"/>
      <c r="R18" s="4"/>
      <c r="S18" s="4">
        <v>9400</v>
      </c>
      <c r="T18" s="4"/>
    </row>
    <row r="19" spans="1:20" x14ac:dyDescent="0.25">
      <c r="A19" s="8">
        <v>43981</v>
      </c>
      <c r="B19" s="4" t="s">
        <v>778</v>
      </c>
      <c r="C19" s="5">
        <v>44191</v>
      </c>
      <c r="D19" s="4"/>
      <c r="E19" s="4" t="s">
        <v>916</v>
      </c>
      <c r="F19" s="4">
        <v>3370</v>
      </c>
      <c r="G19" s="4">
        <v>3400</v>
      </c>
      <c r="H19" s="4">
        <v>10080</v>
      </c>
      <c r="I19" s="4">
        <v>1900</v>
      </c>
      <c r="J19" s="4"/>
      <c r="K19" s="4"/>
      <c r="L19" s="4"/>
      <c r="M19" s="4"/>
      <c r="N19" s="4"/>
      <c r="O19" s="4"/>
      <c r="P19" s="4"/>
      <c r="Q19" s="4"/>
      <c r="R19" s="4"/>
      <c r="S19" s="4">
        <v>18900</v>
      </c>
      <c r="T19" s="4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8"/>
  <sheetViews>
    <sheetView topLeftCell="A13" workbookViewId="0"/>
  </sheetViews>
  <sheetFormatPr baseColWidth="10" defaultRowHeight="15" x14ac:dyDescent="0.25"/>
  <sheetData>
    <row r="1" spans="1:18" ht="18.75" x14ac:dyDescent="0.4">
      <c r="A1" s="57" t="s">
        <v>9</v>
      </c>
      <c r="B1" s="57" t="s">
        <v>0</v>
      </c>
      <c r="C1" s="57" t="s">
        <v>1</v>
      </c>
      <c r="D1" s="57" t="s">
        <v>206</v>
      </c>
      <c r="E1" s="57" t="s">
        <v>3</v>
      </c>
      <c r="F1" s="57" t="s">
        <v>834</v>
      </c>
      <c r="G1" s="57"/>
      <c r="H1" s="57" t="s">
        <v>835</v>
      </c>
      <c r="I1" s="57" t="s">
        <v>836</v>
      </c>
      <c r="J1" s="57"/>
      <c r="K1" s="57"/>
      <c r="L1" s="57"/>
      <c r="M1" s="57"/>
      <c r="N1" s="57"/>
      <c r="O1" s="57"/>
      <c r="P1" s="57" t="s">
        <v>270</v>
      </c>
      <c r="Q1" s="57" t="s">
        <v>271</v>
      </c>
      <c r="R1" s="60" t="s">
        <v>833</v>
      </c>
    </row>
    <row r="2" spans="1:18" x14ac:dyDescent="0.25">
      <c r="A2" s="8">
        <v>43983</v>
      </c>
      <c r="B2" s="4" t="s">
        <v>830</v>
      </c>
      <c r="C2" s="8">
        <v>44169</v>
      </c>
      <c r="D2" s="4"/>
      <c r="E2" s="4" t="s">
        <v>939</v>
      </c>
      <c r="F2" s="4">
        <v>7000</v>
      </c>
      <c r="G2" s="4"/>
      <c r="H2" s="4">
        <v>2000</v>
      </c>
      <c r="I2" s="4">
        <v>2000</v>
      </c>
      <c r="J2" s="4">
        <v>6000</v>
      </c>
      <c r="K2" s="4">
        <v>800</v>
      </c>
      <c r="L2" s="4"/>
      <c r="M2" s="4"/>
      <c r="N2" s="4"/>
      <c r="O2" s="4"/>
      <c r="P2" s="4">
        <v>17800</v>
      </c>
      <c r="Q2" s="4">
        <v>8129194601</v>
      </c>
    </row>
    <row r="3" spans="1:18" x14ac:dyDescent="0.25">
      <c r="A3" s="8">
        <v>43987</v>
      </c>
      <c r="B3" s="4" t="s">
        <v>805</v>
      </c>
      <c r="C3" s="5">
        <v>44059</v>
      </c>
      <c r="D3" s="4"/>
      <c r="E3" s="4" t="s">
        <v>873</v>
      </c>
      <c r="F3" s="4">
        <v>5500</v>
      </c>
      <c r="G3" s="4"/>
      <c r="H3" s="4">
        <v>7950</v>
      </c>
      <c r="I3" s="4">
        <v>1950</v>
      </c>
      <c r="J3" s="4"/>
      <c r="K3" s="4"/>
      <c r="L3" s="4"/>
      <c r="M3" s="4"/>
      <c r="N3" s="4"/>
      <c r="O3" s="4"/>
      <c r="P3" s="4">
        <v>14450</v>
      </c>
      <c r="Q3" s="4">
        <v>813278331</v>
      </c>
    </row>
    <row r="4" spans="1:18" x14ac:dyDescent="0.25">
      <c r="A4" s="8">
        <v>43988</v>
      </c>
      <c r="B4" s="4" t="s">
        <v>781</v>
      </c>
      <c r="C4" s="5">
        <v>43995</v>
      </c>
      <c r="D4" s="4"/>
      <c r="E4" s="4" t="s">
        <v>782</v>
      </c>
      <c r="F4" s="4">
        <v>3800</v>
      </c>
      <c r="G4" s="4"/>
      <c r="H4" s="4"/>
      <c r="I4" s="4"/>
      <c r="J4" s="4"/>
      <c r="K4" s="4"/>
      <c r="L4" s="4"/>
      <c r="M4" s="4"/>
      <c r="N4" s="4"/>
      <c r="O4" s="4"/>
      <c r="P4" s="4">
        <v>3800</v>
      </c>
      <c r="Q4" s="4">
        <v>8181682279</v>
      </c>
    </row>
    <row r="5" spans="1:18" x14ac:dyDescent="0.25">
      <c r="A5" s="8">
        <v>43989</v>
      </c>
      <c r="B5" s="4" t="s">
        <v>784</v>
      </c>
      <c r="C5" s="4"/>
      <c r="D5" s="4"/>
      <c r="E5" s="4" t="s">
        <v>793</v>
      </c>
      <c r="F5" s="4">
        <v>4140</v>
      </c>
      <c r="G5" s="4"/>
      <c r="H5" s="4">
        <v>600</v>
      </c>
      <c r="I5" s="4">
        <v>7910</v>
      </c>
      <c r="J5" s="4"/>
      <c r="K5" s="4"/>
      <c r="L5" s="4"/>
      <c r="M5" s="4"/>
      <c r="N5" s="4"/>
      <c r="O5" s="4"/>
      <c r="P5" s="4">
        <v>12050</v>
      </c>
      <c r="Q5" s="4">
        <v>8261011023</v>
      </c>
    </row>
    <row r="6" spans="1:18" ht="45" x14ac:dyDescent="0.25">
      <c r="A6" s="8">
        <v>43994</v>
      </c>
      <c r="B6" s="4" t="s">
        <v>786</v>
      </c>
      <c r="C6" s="8">
        <v>44163</v>
      </c>
      <c r="D6" s="4"/>
      <c r="E6" s="40" t="s">
        <v>787</v>
      </c>
      <c r="F6" s="4">
        <v>4000</v>
      </c>
      <c r="G6" s="4"/>
      <c r="H6" s="4">
        <v>2200</v>
      </c>
      <c r="I6" s="4">
        <v>2200</v>
      </c>
      <c r="J6" s="4">
        <v>2200</v>
      </c>
      <c r="K6" s="4">
        <v>2250</v>
      </c>
      <c r="L6" s="4"/>
      <c r="M6" s="4"/>
      <c r="N6" s="4"/>
      <c r="O6" s="4"/>
      <c r="P6" s="4">
        <v>12750</v>
      </c>
      <c r="Q6" s="4"/>
    </row>
    <row r="7" spans="1:18" x14ac:dyDescent="0.25">
      <c r="A7" s="8">
        <v>43994</v>
      </c>
      <c r="B7" s="4" t="s">
        <v>788</v>
      </c>
      <c r="C7" s="8">
        <v>44380</v>
      </c>
      <c r="D7" s="4"/>
      <c r="E7" s="4" t="s">
        <v>789</v>
      </c>
      <c r="F7" s="4">
        <v>1500</v>
      </c>
      <c r="G7" s="4"/>
      <c r="H7" s="4">
        <v>190</v>
      </c>
      <c r="I7" s="4">
        <v>2254</v>
      </c>
      <c r="J7" s="4">
        <v>1127</v>
      </c>
      <c r="K7" s="4">
        <v>1127</v>
      </c>
      <c r="L7" s="4">
        <v>1127</v>
      </c>
      <c r="M7" s="4">
        <v>1127</v>
      </c>
      <c r="N7" s="4"/>
      <c r="O7" s="4"/>
      <c r="P7" s="4">
        <v>8450</v>
      </c>
      <c r="Q7" s="4">
        <v>8181622723</v>
      </c>
    </row>
    <row r="8" spans="1:18" x14ac:dyDescent="0.25">
      <c r="A8" s="8">
        <v>43995</v>
      </c>
      <c r="B8" s="4" t="s">
        <v>790</v>
      </c>
      <c r="C8" s="8">
        <v>44127</v>
      </c>
      <c r="D8" s="4"/>
      <c r="E8" s="4" t="s">
        <v>856</v>
      </c>
      <c r="F8" s="4">
        <v>3080</v>
      </c>
      <c r="G8" s="4"/>
      <c r="H8" s="4">
        <v>1600</v>
      </c>
      <c r="I8" s="4">
        <v>1100</v>
      </c>
      <c r="J8" s="4">
        <v>2000</v>
      </c>
      <c r="K8" s="4">
        <v>1540</v>
      </c>
      <c r="L8" s="4">
        <v>1130</v>
      </c>
      <c r="M8" s="4"/>
      <c r="N8" s="4"/>
      <c r="O8" s="4"/>
      <c r="P8" s="4">
        <v>10450</v>
      </c>
      <c r="Q8" s="4">
        <v>18322778827</v>
      </c>
    </row>
    <row r="9" spans="1:18" x14ac:dyDescent="0.25">
      <c r="A9" s="8">
        <v>43995</v>
      </c>
      <c r="B9" s="4" t="s">
        <v>791</v>
      </c>
      <c r="C9" s="8">
        <v>44191</v>
      </c>
      <c r="D9" s="4"/>
      <c r="E9" s="4" t="s">
        <v>985</v>
      </c>
      <c r="F9" s="4">
        <v>5000</v>
      </c>
      <c r="G9" s="4"/>
      <c r="H9" s="4">
        <v>1250</v>
      </c>
      <c r="I9" s="4">
        <v>1250</v>
      </c>
      <c r="J9" s="4">
        <v>1250</v>
      </c>
      <c r="K9" s="4">
        <v>1250</v>
      </c>
      <c r="L9" s="4">
        <v>1250</v>
      </c>
      <c r="M9" s="4">
        <v>1000</v>
      </c>
      <c r="N9" s="4">
        <v>1000</v>
      </c>
      <c r="O9" s="4">
        <v>1800</v>
      </c>
      <c r="P9" s="4">
        <v>14950</v>
      </c>
      <c r="Q9" s="4">
        <v>8123603065</v>
      </c>
    </row>
    <row r="10" spans="1:18" x14ac:dyDescent="0.25">
      <c r="A10" s="8">
        <v>44002</v>
      </c>
      <c r="B10" s="4" t="s">
        <v>871</v>
      </c>
      <c r="C10" s="8">
        <v>44556</v>
      </c>
      <c r="D10" s="4"/>
      <c r="E10" s="4" t="s">
        <v>800</v>
      </c>
      <c r="F10" s="4">
        <v>1390</v>
      </c>
      <c r="G10" s="4">
        <v>500</v>
      </c>
      <c r="H10" s="4">
        <v>1500</v>
      </c>
      <c r="I10" s="4">
        <v>1500</v>
      </c>
      <c r="J10" s="4">
        <v>1200</v>
      </c>
      <c r="K10" s="4">
        <v>1800</v>
      </c>
      <c r="L10" s="4">
        <v>1660</v>
      </c>
      <c r="M10" s="4"/>
      <c r="N10" s="4"/>
      <c r="O10" s="4"/>
      <c r="P10" s="4">
        <v>9450</v>
      </c>
      <c r="Q10" s="4">
        <v>8128891410</v>
      </c>
    </row>
    <row r="11" spans="1:18" ht="60" x14ac:dyDescent="0.25">
      <c r="A11" s="8">
        <v>44002</v>
      </c>
      <c r="B11" s="4" t="s">
        <v>801</v>
      </c>
      <c r="C11" s="8">
        <v>44212</v>
      </c>
      <c r="D11" s="4"/>
      <c r="E11" s="40" t="s">
        <v>907</v>
      </c>
      <c r="F11" s="4">
        <v>7000</v>
      </c>
      <c r="G11" s="4"/>
      <c r="H11" s="4">
        <v>2500</v>
      </c>
      <c r="I11" s="4">
        <v>2500</v>
      </c>
      <c r="J11" s="4">
        <v>700</v>
      </c>
      <c r="K11" s="4">
        <v>2500</v>
      </c>
      <c r="L11" s="4">
        <v>3000</v>
      </c>
      <c r="M11" s="4">
        <v>1150</v>
      </c>
      <c r="N11" s="4"/>
      <c r="O11" s="4"/>
      <c r="P11" s="40" t="s">
        <v>908</v>
      </c>
      <c r="Q11" s="4">
        <v>8661709582</v>
      </c>
    </row>
    <row r="12" spans="1:18" ht="45" x14ac:dyDescent="0.25">
      <c r="A12" s="8">
        <v>44002</v>
      </c>
      <c r="B12" s="4" t="s">
        <v>802</v>
      </c>
      <c r="C12" s="4"/>
      <c r="D12" s="4"/>
      <c r="E12" s="40" t="s">
        <v>863</v>
      </c>
      <c r="F12" s="4">
        <v>4500</v>
      </c>
      <c r="G12" s="4"/>
      <c r="H12" s="4">
        <v>3400</v>
      </c>
      <c r="I12" s="4">
        <v>3500</v>
      </c>
      <c r="J12" s="4">
        <v>3500</v>
      </c>
      <c r="K12" s="4">
        <v>4700</v>
      </c>
      <c r="L12" s="4"/>
      <c r="M12" s="4"/>
      <c r="N12" s="4"/>
      <c r="O12" s="4"/>
      <c r="P12" s="40">
        <v>19500</v>
      </c>
      <c r="Q12" s="4">
        <v>8115538396</v>
      </c>
    </row>
    <row r="13" spans="1:18" ht="75" x14ac:dyDescent="0.25">
      <c r="A13" s="8">
        <v>44006</v>
      </c>
      <c r="B13" s="4" t="s">
        <v>804</v>
      </c>
      <c r="C13" s="8" t="s">
        <v>1165</v>
      </c>
      <c r="D13" s="4"/>
      <c r="E13" s="40" t="s">
        <v>1097</v>
      </c>
      <c r="F13" s="4">
        <v>2530</v>
      </c>
      <c r="G13" s="4"/>
      <c r="H13" s="4">
        <v>1265</v>
      </c>
      <c r="I13" s="4">
        <v>1265</v>
      </c>
      <c r="J13" s="4">
        <v>1265</v>
      </c>
      <c r="K13" s="4">
        <v>1265</v>
      </c>
      <c r="L13" s="4">
        <v>1265</v>
      </c>
      <c r="M13" s="4" t="s">
        <v>1026</v>
      </c>
      <c r="N13" s="4" t="s">
        <v>1098</v>
      </c>
      <c r="O13" s="4" t="s">
        <v>1166</v>
      </c>
      <c r="P13" s="4">
        <v>13050</v>
      </c>
      <c r="Q13" s="4">
        <v>8114148875</v>
      </c>
    </row>
    <row r="14" spans="1:18" x14ac:dyDescent="0.25">
      <c r="A14" s="8">
        <v>44007</v>
      </c>
      <c r="B14" s="4" t="s">
        <v>806</v>
      </c>
      <c r="C14" s="8">
        <v>44307</v>
      </c>
      <c r="D14" s="4"/>
      <c r="E14" s="4" t="s">
        <v>953</v>
      </c>
      <c r="F14" s="4">
        <v>4000</v>
      </c>
      <c r="G14" s="4"/>
      <c r="H14" s="4">
        <v>2000</v>
      </c>
      <c r="I14" s="4">
        <v>2000</v>
      </c>
      <c r="J14" s="4">
        <v>2000</v>
      </c>
      <c r="K14" s="4">
        <v>2000</v>
      </c>
      <c r="L14" s="4">
        <v>2000</v>
      </c>
      <c r="M14" s="4" t="s">
        <v>1027</v>
      </c>
      <c r="N14" s="4" t="s">
        <v>1116</v>
      </c>
      <c r="O14" s="4" t="s">
        <v>1154</v>
      </c>
      <c r="P14" s="4">
        <v>18500</v>
      </c>
      <c r="Q14" s="4">
        <v>8115254308</v>
      </c>
    </row>
    <row r="15" spans="1:18" x14ac:dyDescent="0.25">
      <c r="A15" s="8">
        <v>44008</v>
      </c>
      <c r="B15" s="4" t="s">
        <v>807</v>
      </c>
      <c r="C15" s="8">
        <v>44072</v>
      </c>
      <c r="D15" s="4"/>
      <c r="E15" s="4" t="s">
        <v>808</v>
      </c>
      <c r="F15" s="4">
        <v>1700</v>
      </c>
      <c r="G15" s="4"/>
      <c r="H15" s="4">
        <v>2700</v>
      </c>
      <c r="I15" s="4"/>
      <c r="J15" s="4"/>
      <c r="K15" s="4"/>
      <c r="L15" s="4"/>
      <c r="M15" s="4"/>
      <c r="N15" s="4"/>
      <c r="O15" s="4"/>
      <c r="P15" s="4">
        <v>4300</v>
      </c>
      <c r="Q15" s="4">
        <v>8122044367</v>
      </c>
    </row>
    <row r="16" spans="1:18" x14ac:dyDescent="0.25">
      <c r="A16" s="4" t="s">
        <v>809</v>
      </c>
      <c r="B16" s="4" t="s">
        <v>810</v>
      </c>
      <c r="C16" s="8">
        <v>44527</v>
      </c>
      <c r="D16" s="4"/>
      <c r="E16" s="4" t="s">
        <v>927</v>
      </c>
      <c r="F16" s="4">
        <v>2250</v>
      </c>
      <c r="G16" s="4"/>
      <c r="H16" s="4">
        <v>6000</v>
      </c>
      <c r="I16" s="4">
        <v>3000</v>
      </c>
      <c r="J16" s="4">
        <v>2500</v>
      </c>
      <c r="K16" s="4">
        <v>1400</v>
      </c>
      <c r="L16" s="4"/>
      <c r="M16" s="4"/>
      <c r="N16" s="4"/>
      <c r="O16" s="4"/>
      <c r="P16" s="4">
        <v>14350</v>
      </c>
      <c r="Q16" s="4">
        <v>8211415434</v>
      </c>
    </row>
    <row r="17" spans="1:17" ht="90" x14ac:dyDescent="0.25">
      <c r="A17" s="8">
        <v>44009</v>
      </c>
      <c r="B17" s="4" t="s">
        <v>812</v>
      </c>
      <c r="C17" s="8">
        <v>44136</v>
      </c>
      <c r="D17" s="4"/>
      <c r="E17" s="40" t="s">
        <v>813</v>
      </c>
      <c r="F17" s="4">
        <v>3100</v>
      </c>
      <c r="G17" s="4"/>
      <c r="H17" s="4">
        <v>3200</v>
      </c>
      <c r="I17" s="4"/>
      <c r="J17" s="4"/>
      <c r="K17" s="4"/>
      <c r="L17" s="4"/>
      <c r="M17" s="4"/>
      <c r="N17" s="4"/>
      <c r="O17" s="4"/>
      <c r="P17" s="4">
        <v>6200</v>
      </c>
      <c r="Q17" s="4">
        <v>8115732242</v>
      </c>
    </row>
    <row r="18" spans="1:17" x14ac:dyDescent="0.25">
      <c r="A18" s="8">
        <v>44009</v>
      </c>
      <c r="B18" s="4" t="s">
        <v>814</v>
      </c>
      <c r="C18" s="8">
        <v>44170</v>
      </c>
      <c r="D18" s="4"/>
      <c r="E18" s="4" t="s">
        <v>909</v>
      </c>
      <c r="F18" s="4">
        <v>1500</v>
      </c>
      <c r="G18" s="4"/>
      <c r="H18" s="4">
        <v>1500</v>
      </c>
      <c r="I18" s="4">
        <v>2500</v>
      </c>
      <c r="J18" s="4">
        <v>2084</v>
      </c>
      <c r="K18" s="4">
        <v>4000</v>
      </c>
      <c r="L18" s="4">
        <v>166</v>
      </c>
      <c r="M18" s="4"/>
      <c r="N18" s="4"/>
      <c r="O18" s="4"/>
      <c r="P18" s="4">
        <v>11750</v>
      </c>
      <c r="Q18" s="4">
        <v>5537499580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4"/>
  <sheetViews>
    <sheetView topLeftCell="A7" workbookViewId="0"/>
  </sheetViews>
  <sheetFormatPr baseColWidth="10" defaultRowHeight="15" x14ac:dyDescent="0.25"/>
  <sheetData>
    <row r="1" spans="1:15" ht="18.75" x14ac:dyDescent="0.4">
      <c r="A1" s="59" t="s">
        <v>9</v>
      </c>
      <c r="B1" s="59" t="s">
        <v>0</v>
      </c>
      <c r="C1" s="59" t="s">
        <v>1</v>
      </c>
      <c r="D1" s="59" t="s">
        <v>206</v>
      </c>
      <c r="E1" s="59" t="s">
        <v>3</v>
      </c>
      <c r="F1" s="59" t="s">
        <v>5</v>
      </c>
      <c r="G1" s="59" t="s">
        <v>6</v>
      </c>
      <c r="H1" s="59" t="s">
        <v>7</v>
      </c>
      <c r="I1" s="59"/>
      <c r="J1" s="59"/>
      <c r="K1" s="59"/>
      <c r="L1" s="59"/>
      <c r="M1" s="59" t="s">
        <v>270</v>
      </c>
      <c r="N1" s="59" t="s">
        <v>271</v>
      </c>
      <c r="O1" s="58"/>
    </row>
    <row r="2" spans="1:15" x14ac:dyDescent="0.25">
      <c r="A2" s="8">
        <v>44016</v>
      </c>
      <c r="B2" s="4" t="s">
        <v>818</v>
      </c>
      <c r="C2" s="8">
        <v>44233</v>
      </c>
      <c r="D2" s="4"/>
      <c r="E2" s="4" t="s">
        <v>937</v>
      </c>
      <c r="F2" s="4">
        <v>2390</v>
      </c>
      <c r="G2" s="4">
        <v>2000</v>
      </c>
      <c r="H2" s="4">
        <v>2000</v>
      </c>
      <c r="I2" s="4">
        <v>5560</v>
      </c>
      <c r="J2" s="4">
        <v>2100</v>
      </c>
      <c r="K2" s="4"/>
      <c r="L2" s="4"/>
      <c r="M2" s="4">
        <v>14050</v>
      </c>
      <c r="N2" s="4">
        <v>8112059234</v>
      </c>
      <c r="O2" s="1"/>
    </row>
    <row r="3" spans="1:15" ht="30" x14ac:dyDescent="0.25">
      <c r="A3" s="8">
        <v>44016</v>
      </c>
      <c r="B3" s="4" t="s">
        <v>819</v>
      </c>
      <c r="C3" s="8">
        <v>44149</v>
      </c>
      <c r="D3" s="4"/>
      <c r="E3" s="40" t="s">
        <v>820</v>
      </c>
      <c r="F3" s="4">
        <v>4320</v>
      </c>
      <c r="G3" s="4">
        <v>2160</v>
      </c>
      <c r="H3" s="4">
        <v>2200</v>
      </c>
      <c r="I3" s="4">
        <v>2220</v>
      </c>
      <c r="J3" s="4"/>
      <c r="K3" s="4"/>
      <c r="L3" s="4"/>
      <c r="M3" s="4">
        <v>10800</v>
      </c>
      <c r="N3" s="4">
        <v>9211232640</v>
      </c>
      <c r="O3" s="1"/>
    </row>
    <row r="4" spans="1:15" x14ac:dyDescent="0.25">
      <c r="A4" s="8">
        <v>44016</v>
      </c>
      <c r="B4" s="4" t="s">
        <v>823</v>
      </c>
      <c r="C4" s="8" t="s">
        <v>890</v>
      </c>
      <c r="D4" s="4"/>
      <c r="E4" s="4" t="s">
        <v>825</v>
      </c>
      <c r="F4" s="4">
        <v>2350</v>
      </c>
      <c r="G4" s="4">
        <v>750</v>
      </c>
      <c r="H4" s="4">
        <v>1175</v>
      </c>
      <c r="I4" s="4">
        <v>1175</v>
      </c>
      <c r="J4" s="4"/>
      <c r="K4" s="4"/>
      <c r="L4" s="4"/>
      <c r="M4" s="4">
        <v>5450</v>
      </c>
      <c r="N4" s="4">
        <v>8124116777</v>
      </c>
      <c r="O4" s="1" t="s">
        <v>824</v>
      </c>
    </row>
    <row r="5" spans="1:15" x14ac:dyDescent="0.25">
      <c r="A5" s="8">
        <v>44018</v>
      </c>
      <c r="B5" s="4" t="s">
        <v>826</v>
      </c>
      <c r="C5" s="8">
        <v>44193</v>
      </c>
      <c r="D5" s="4"/>
      <c r="E5" s="4" t="s">
        <v>936</v>
      </c>
      <c r="F5" s="4">
        <v>9000</v>
      </c>
      <c r="G5" s="4">
        <v>525</v>
      </c>
      <c r="H5" s="4">
        <v>525</v>
      </c>
      <c r="I5" s="4">
        <v>1050</v>
      </c>
      <c r="J5" s="4">
        <v>300</v>
      </c>
      <c r="K5" s="4"/>
      <c r="L5" s="4">
        <v>300</v>
      </c>
      <c r="M5" s="4">
        <v>11700</v>
      </c>
      <c r="N5" s="4">
        <v>8124313836</v>
      </c>
      <c r="O5" s="1"/>
    </row>
    <row r="6" spans="1:15" x14ac:dyDescent="0.25">
      <c r="A6" s="8">
        <v>44018</v>
      </c>
      <c r="B6" s="4" t="s">
        <v>827</v>
      </c>
      <c r="C6" s="8">
        <v>44149</v>
      </c>
      <c r="D6" s="4"/>
      <c r="E6" s="4" t="s">
        <v>828</v>
      </c>
      <c r="F6" s="4">
        <v>5000</v>
      </c>
      <c r="G6" s="4">
        <v>1800</v>
      </c>
      <c r="H6" s="4">
        <v>1800</v>
      </c>
      <c r="I6" s="4">
        <v>1850</v>
      </c>
      <c r="J6" s="4"/>
      <c r="K6" s="4"/>
      <c r="L6" s="4"/>
      <c r="M6" s="4">
        <v>10350</v>
      </c>
      <c r="N6" s="4">
        <v>8116582202</v>
      </c>
      <c r="O6" s="1"/>
    </row>
    <row r="7" spans="1:15" ht="75" x14ac:dyDescent="0.25">
      <c r="A7" s="8">
        <v>44023</v>
      </c>
      <c r="B7" s="4" t="s">
        <v>917</v>
      </c>
      <c r="C7" s="8">
        <v>44121</v>
      </c>
      <c r="D7" s="4"/>
      <c r="E7" s="40" t="s">
        <v>831</v>
      </c>
      <c r="F7" s="4" t="s">
        <v>1595</v>
      </c>
      <c r="G7" s="4" t="s">
        <v>1596</v>
      </c>
      <c r="H7" s="4" t="s">
        <v>1597</v>
      </c>
      <c r="I7" s="4" t="s">
        <v>1598</v>
      </c>
      <c r="J7" s="4" t="s">
        <v>1599</v>
      </c>
      <c r="K7" s="4">
        <v>864</v>
      </c>
      <c r="L7" s="4"/>
      <c r="M7" s="4">
        <v>5400</v>
      </c>
      <c r="N7" s="4">
        <v>8122549083</v>
      </c>
      <c r="O7" s="1"/>
    </row>
    <row r="8" spans="1:15" x14ac:dyDescent="0.25">
      <c r="A8" s="8">
        <v>44023</v>
      </c>
      <c r="B8" s="4" t="s">
        <v>855</v>
      </c>
      <c r="C8" s="6" t="s">
        <v>832</v>
      </c>
      <c r="D8" s="4"/>
      <c r="E8" s="4" t="s">
        <v>265</v>
      </c>
      <c r="F8" s="4">
        <v>3700</v>
      </c>
      <c r="G8" s="4"/>
      <c r="H8" s="4"/>
      <c r="I8" s="4"/>
      <c r="J8" s="4"/>
      <c r="K8" s="4"/>
      <c r="L8" s="4"/>
      <c r="M8" s="4">
        <v>3700</v>
      </c>
      <c r="N8" s="4">
        <v>8131113600</v>
      </c>
      <c r="O8" s="1"/>
    </row>
    <row r="9" spans="1:15" x14ac:dyDescent="0.25">
      <c r="A9" s="5">
        <v>44034</v>
      </c>
      <c r="B9" s="4" t="s">
        <v>872</v>
      </c>
      <c r="C9" s="8">
        <v>44170</v>
      </c>
      <c r="D9" s="4"/>
      <c r="E9" s="4" t="s">
        <v>958</v>
      </c>
      <c r="F9" s="4">
        <v>1480</v>
      </c>
      <c r="G9" s="4">
        <v>700</v>
      </c>
      <c r="H9" s="4">
        <v>700</v>
      </c>
      <c r="I9" s="4">
        <v>820</v>
      </c>
      <c r="J9" s="4">
        <v>200</v>
      </c>
      <c r="K9" s="4">
        <v>500</v>
      </c>
      <c r="L9" s="4">
        <v>900</v>
      </c>
      <c r="M9" s="4">
        <v>5200</v>
      </c>
      <c r="N9" s="4">
        <v>8128805263</v>
      </c>
      <c r="O9" s="1"/>
    </row>
    <row r="10" spans="1:15" x14ac:dyDescent="0.25">
      <c r="A10" s="8">
        <v>44037</v>
      </c>
      <c r="B10" s="4" t="s">
        <v>874</v>
      </c>
      <c r="C10" s="8">
        <v>44233</v>
      </c>
      <c r="D10" s="4"/>
      <c r="E10" s="4" t="s">
        <v>1019</v>
      </c>
      <c r="F10" s="4">
        <v>2000</v>
      </c>
      <c r="G10" s="4">
        <v>1242</v>
      </c>
      <c r="H10" s="4">
        <v>1250</v>
      </c>
      <c r="I10" s="4">
        <v>1200</v>
      </c>
      <c r="J10" s="4">
        <v>2000</v>
      </c>
      <c r="K10" s="4" t="s">
        <v>1018</v>
      </c>
      <c r="L10" s="4"/>
      <c r="M10" s="4">
        <v>9450</v>
      </c>
      <c r="N10" s="4">
        <v>8118796067</v>
      </c>
      <c r="O10" s="1"/>
    </row>
    <row r="11" spans="1:15" ht="60" x14ac:dyDescent="0.25">
      <c r="A11" s="8">
        <v>44041</v>
      </c>
      <c r="B11" s="4" t="s">
        <v>877</v>
      </c>
      <c r="C11" s="4"/>
      <c r="D11" s="4"/>
      <c r="E11" s="40" t="s">
        <v>878</v>
      </c>
      <c r="F11" s="4">
        <v>2770</v>
      </c>
      <c r="G11" s="4">
        <v>2580</v>
      </c>
      <c r="H11" s="4"/>
      <c r="I11" s="4"/>
      <c r="J11" s="4"/>
      <c r="K11" s="4"/>
      <c r="L11" s="4"/>
      <c r="M11" s="4">
        <v>5250</v>
      </c>
      <c r="N11" s="4">
        <v>8180502295</v>
      </c>
      <c r="O11" s="1"/>
    </row>
    <row r="12" spans="1:15" x14ac:dyDescent="0.25">
      <c r="A12" s="8">
        <v>44043</v>
      </c>
      <c r="B12" s="4" t="s">
        <v>879</v>
      </c>
      <c r="C12" s="8">
        <v>44194</v>
      </c>
      <c r="D12" s="4"/>
      <c r="E12" s="4" t="s">
        <v>880</v>
      </c>
      <c r="F12" s="4">
        <v>2200</v>
      </c>
      <c r="G12" s="4">
        <v>2200</v>
      </c>
      <c r="H12" s="4">
        <v>2200</v>
      </c>
      <c r="I12" s="4">
        <v>2200</v>
      </c>
      <c r="J12" s="4">
        <v>2300</v>
      </c>
      <c r="K12" s="4"/>
      <c r="L12" s="4"/>
      <c r="M12" s="4">
        <v>11000</v>
      </c>
      <c r="N12" s="4">
        <v>8132362912</v>
      </c>
      <c r="O12" s="1"/>
    </row>
    <row r="13" spans="1:15" x14ac:dyDescent="0.25">
      <c r="A13" s="8">
        <v>44043</v>
      </c>
      <c r="B13" s="4" t="s">
        <v>881</v>
      </c>
      <c r="C13" s="6">
        <v>44287</v>
      </c>
      <c r="D13" s="4"/>
      <c r="E13" s="4" t="s">
        <v>1164</v>
      </c>
      <c r="F13" s="4">
        <v>1250</v>
      </c>
      <c r="G13" s="4">
        <v>1000</v>
      </c>
      <c r="H13" s="4">
        <v>2250</v>
      </c>
      <c r="I13" s="4">
        <v>6759</v>
      </c>
      <c r="J13" s="4" t="s">
        <v>1654</v>
      </c>
      <c r="K13" s="4" t="s">
        <v>1718</v>
      </c>
      <c r="L13" s="4"/>
      <c r="M13" s="4">
        <v>11900</v>
      </c>
      <c r="N13" s="4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9"/>
  <sheetViews>
    <sheetView workbookViewId="0"/>
  </sheetViews>
  <sheetFormatPr baseColWidth="10" defaultRowHeight="15" x14ac:dyDescent="0.25"/>
  <sheetData>
    <row r="1" spans="1:22" ht="18.75" x14ac:dyDescent="0.4">
      <c r="A1" s="65" t="s">
        <v>9</v>
      </c>
      <c r="B1" s="65" t="s">
        <v>0</v>
      </c>
      <c r="C1" s="65" t="s">
        <v>1</v>
      </c>
      <c r="D1" s="65" t="s">
        <v>206</v>
      </c>
      <c r="E1" s="65" t="s">
        <v>3</v>
      </c>
      <c r="F1" s="65" t="s">
        <v>5</v>
      </c>
      <c r="G1" s="65" t="s">
        <v>6</v>
      </c>
      <c r="H1" s="65" t="s">
        <v>7</v>
      </c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 t="s">
        <v>270</v>
      </c>
      <c r="U1" s="65" t="s">
        <v>271</v>
      </c>
      <c r="V1" s="58" t="s">
        <v>833</v>
      </c>
    </row>
    <row r="2" spans="1:22" x14ac:dyDescent="0.25">
      <c r="A2" s="8">
        <v>44047</v>
      </c>
      <c r="B2" s="4" t="s">
        <v>885</v>
      </c>
      <c r="C2" s="4"/>
      <c r="D2" s="4"/>
      <c r="E2" s="4" t="s">
        <v>886</v>
      </c>
      <c r="F2" s="4">
        <v>4000</v>
      </c>
      <c r="G2" s="4">
        <v>2500</v>
      </c>
      <c r="H2" s="4">
        <v>2000</v>
      </c>
      <c r="I2" s="4">
        <v>500</v>
      </c>
      <c r="J2" s="4"/>
      <c r="K2" s="4"/>
      <c r="L2" s="4"/>
      <c r="M2" s="4"/>
      <c r="N2" s="4"/>
      <c r="O2" s="4"/>
      <c r="P2" s="4"/>
      <c r="Q2" s="4"/>
      <c r="R2" s="4"/>
      <c r="S2" s="4"/>
      <c r="T2" s="4">
        <v>8900</v>
      </c>
      <c r="U2" s="4"/>
      <c r="V2" s="1"/>
    </row>
    <row r="3" spans="1:22" x14ac:dyDescent="0.25">
      <c r="A3" s="8">
        <v>44051</v>
      </c>
      <c r="B3" s="4" t="s">
        <v>888</v>
      </c>
      <c r="C3" s="8">
        <v>44238</v>
      </c>
      <c r="D3" s="4"/>
      <c r="E3" s="4" t="s">
        <v>561</v>
      </c>
      <c r="F3" s="4">
        <v>2500</v>
      </c>
      <c r="G3" s="4">
        <v>2500</v>
      </c>
      <c r="H3" s="4">
        <v>2300</v>
      </c>
      <c r="I3" s="4">
        <v>2300</v>
      </c>
      <c r="J3" s="4" t="s">
        <v>1017</v>
      </c>
      <c r="K3" s="4"/>
      <c r="L3" s="4"/>
      <c r="M3" s="4"/>
      <c r="N3" s="4"/>
      <c r="O3" s="4"/>
      <c r="P3" s="4"/>
      <c r="Q3" s="4"/>
      <c r="R3" s="4"/>
      <c r="S3" s="4"/>
      <c r="T3" s="4">
        <v>11700</v>
      </c>
      <c r="U3" s="4">
        <v>8118875223</v>
      </c>
      <c r="V3" s="1" t="s">
        <v>746</v>
      </c>
    </row>
    <row r="4" spans="1:22" x14ac:dyDescent="0.25">
      <c r="A4" s="8">
        <v>44056</v>
      </c>
      <c r="B4" s="4" t="s">
        <v>893</v>
      </c>
      <c r="C4" s="8">
        <v>44156</v>
      </c>
      <c r="D4" s="4"/>
      <c r="E4" s="4" t="s">
        <v>894</v>
      </c>
      <c r="F4" s="4">
        <v>2180</v>
      </c>
      <c r="G4" s="4">
        <v>1635</v>
      </c>
      <c r="H4" s="4">
        <v>1735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v>5450</v>
      </c>
      <c r="U4" s="4"/>
      <c r="V4" s="1"/>
    </row>
    <row r="5" spans="1:22" ht="90" x14ac:dyDescent="0.25">
      <c r="A5" s="8">
        <v>44058</v>
      </c>
      <c r="B5" s="4" t="s">
        <v>895</v>
      </c>
      <c r="C5" s="4"/>
      <c r="D5" s="4"/>
      <c r="E5" s="40" t="s">
        <v>896</v>
      </c>
      <c r="F5" s="4">
        <v>4320</v>
      </c>
      <c r="G5" s="4">
        <v>2200</v>
      </c>
      <c r="H5" s="4">
        <v>2500</v>
      </c>
      <c r="I5" s="4">
        <v>1880</v>
      </c>
      <c r="J5" s="4"/>
      <c r="K5" s="4"/>
      <c r="L5" s="4"/>
      <c r="M5" s="4"/>
      <c r="N5" s="4"/>
      <c r="O5" s="4"/>
      <c r="P5" s="4"/>
      <c r="Q5" s="4"/>
      <c r="R5" s="4"/>
      <c r="S5" s="4"/>
      <c r="T5" s="4">
        <v>10800</v>
      </c>
      <c r="U5" s="4">
        <v>8118277184</v>
      </c>
      <c r="V5" s="1"/>
    </row>
    <row r="6" spans="1:22" x14ac:dyDescent="0.25">
      <c r="A6" s="8">
        <v>44060</v>
      </c>
      <c r="B6" s="4" t="s">
        <v>897</v>
      </c>
      <c r="C6" s="8">
        <v>44611</v>
      </c>
      <c r="D6" s="4"/>
      <c r="E6" s="4" t="s">
        <v>875</v>
      </c>
      <c r="F6" s="4">
        <v>1890</v>
      </c>
      <c r="G6" s="4" t="s">
        <v>1613</v>
      </c>
      <c r="H6" s="4" t="s">
        <v>1614</v>
      </c>
      <c r="I6" s="4" t="s">
        <v>1615</v>
      </c>
      <c r="J6" s="4" t="s">
        <v>1616</v>
      </c>
      <c r="K6" s="4" t="s">
        <v>1091</v>
      </c>
      <c r="L6" s="4" t="s">
        <v>1175</v>
      </c>
      <c r="M6" s="4" t="s">
        <v>1439</v>
      </c>
      <c r="N6" s="4" t="s">
        <v>1259</v>
      </c>
      <c r="O6" s="4" t="s">
        <v>1536</v>
      </c>
      <c r="P6" s="34" t="s">
        <v>1617</v>
      </c>
      <c r="Q6" s="34" t="s">
        <v>1617</v>
      </c>
      <c r="R6" s="34" t="s">
        <v>1952</v>
      </c>
      <c r="S6" s="34" t="s">
        <v>2024</v>
      </c>
      <c r="T6" s="4">
        <v>9450</v>
      </c>
      <c r="U6" s="4">
        <v>8126634314</v>
      </c>
      <c r="V6" s="1"/>
    </row>
    <row r="7" spans="1:22" x14ac:dyDescent="0.25">
      <c r="A7" s="8">
        <v>44062</v>
      </c>
      <c r="B7" s="4" t="s">
        <v>899</v>
      </c>
      <c r="C7" s="4"/>
      <c r="D7" s="4"/>
      <c r="E7" s="4" t="s">
        <v>902</v>
      </c>
      <c r="F7" s="4">
        <v>3100</v>
      </c>
      <c r="G7" s="4">
        <v>2000</v>
      </c>
      <c r="H7" s="4">
        <v>7000</v>
      </c>
      <c r="I7" s="4">
        <v>300</v>
      </c>
      <c r="J7" s="4">
        <v>900</v>
      </c>
      <c r="K7" s="4">
        <v>650</v>
      </c>
      <c r="L7" s="4">
        <v>3000</v>
      </c>
      <c r="M7" s="4"/>
      <c r="N7" s="4"/>
      <c r="O7" s="4"/>
      <c r="P7" s="4"/>
      <c r="Q7" s="4"/>
      <c r="R7" s="4"/>
      <c r="S7" s="4"/>
      <c r="T7" s="4">
        <v>15300</v>
      </c>
      <c r="U7" s="4">
        <v>8122056422</v>
      </c>
      <c r="V7" s="1"/>
    </row>
    <row r="8" spans="1:22" x14ac:dyDescent="0.25">
      <c r="A8" s="5">
        <v>44065</v>
      </c>
      <c r="B8" s="4" t="s">
        <v>901</v>
      </c>
      <c r="C8" s="4"/>
      <c r="D8" s="4"/>
      <c r="E8" s="4" t="s">
        <v>1394</v>
      </c>
      <c r="F8" s="4">
        <v>2000</v>
      </c>
      <c r="G8" s="4" t="s">
        <v>1056</v>
      </c>
      <c r="H8" s="4" t="s">
        <v>1057</v>
      </c>
      <c r="I8" s="4">
        <v>1500</v>
      </c>
      <c r="J8" s="4" t="s">
        <v>1108</v>
      </c>
      <c r="K8" s="4">
        <v>1000</v>
      </c>
      <c r="L8" s="4" t="s">
        <v>1375</v>
      </c>
      <c r="M8" s="4" t="s">
        <v>1531</v>
      </c>
      <c r="N8" s="4" t="s">
        <v>1532</v>
      </c>
      <c r="O8" s="4"/>
      <c r="P8" s="4"/>
      <c r="Q8" s="4"/>
      <c r="R8" s="4"/>
      <c r="S8" s="4"/>
      <c r="T8" s="4">
        <v>12000</v>
      </c>
      <c r="U8" s="4">
        <v>8112517002</v>
      </c>
      <c r="V8" s="1"/>
    </row>
    <row r="9" spans="1:22" x14ac:dyDescent="0.25">
      <c r="A9" s="8">
        <v>44072</v>
      </c>
      <c r="B9" s="4" t="s">
        <v>903</v>
      </c>
      <c r="C9" s="4"/>
      <c r="D9" s="4"/>
      <c r="E9" s="4" t="s">
        <v>935</v>
      </c>
      <c r="F9" s="4">
        <v>4140</v>
      </c>
      <c r="G9" s="4">
        <v>3105</v>
      </c>
      <c r="H9" s="4">
        <v>440</v>
      </c>
      <c r="I9" s="4">
        <v>3865</v>
      </c>
      <c r="J9" s="4"/>
      <c r="K9" s="4"/>
      <c r="L9" s="4"/>
      <c r="M9" s="4"/>
      <c r="N9" s="4"/>
      <c r="O9" s="4"/>
      <c r="P9" s="4"/>
      <c r="Q9" s="4"/>
      <c r="R9" s="4"/>
      <c r="S9" s="4"/>
      <c r="T9" s="4">
        <v>11450</v>
      </c>
      <c r="U9" s="4"/>
      <c r="V9" s="6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8"/>
  <sheetViews>
    <sheetView workbookViewId="0"/>
  </sheetViews>
  <sheetFormatPr baseColWidth="10" defaultRowHeight="15" x14ac:dyDescent="0.25"/>
  <sheetData>
    <row r="1" spans="1:21" ht="18.75" x14ac:dyDescent="0.4">
      <c r="A1" s="65" t="s">
        <v>9</v>
      </c>
      <c r="B1" s="65" t="s">
        <v>0</v>
      </c>
      <c r="C1" s="65" t="s">
        <v>1</v>
      </c>
      <c r="D1" s="65" t="s">
        <v>206</v>
      </c>
      <c r="E1" s="65" t="s">
        <v>3</v>
      </c>
      <c r="F1" s="65" t="s">
        <v>5</v>
      </c>
      <c r="G1" s="65" t="s">
        <v>6</v>
      </c>
      <c r="H1" s="65" t="s">
        <v>7</v>
      </c>
      <c r="I1" s="65"/>
      <c r="J1" s="65"/>
      <c r="K1" s="65"/>
      <c r="L1" s="65"/>
      <c r="M1" s="65"/>
      <c r="N1" s="65"/>
      <c r="O1" s="65"/>
      <c r="P1" s="65"/>
      <c r="Q1" s="65"/>
      <c r="R1" s="65" t="s">
        <v>270</v>
      </c>
      <c r="S1" s="65" t="s">
        <v>271</v>
      </c>
      <c r="T1" s="58" t="s">
        <v>833</v>
      </c>
    </row>
    <row r="2" spans="1:21" x14ac:dyDescent="0.25">
      <c r="A2" s="26">
        <v>44086</v>
      </c>
      <c r="B2" s="10" t="s">
        <v>910</v>
      </c>
      <c r="C2" s="10"/>
      <c r="D2" s="10"/>
      <c r="E2" s="10" t="s">
        <v>911</v>
      </c>
      <c r="F2" s="10">
        <v>3060</v>
      </c>
      <c r="G2" s="10">
        <v>1748</v>
      </c>
      <c r="H2" s="10">
        <v>1748</v>
      </c>
      <c r="I2" s="10"/>
      <c r="J2" s="10"/>
      <c r="K2" s="10"/>
      <c r="L2" s="10"/>
      <c r="M2" s="10"/>
      <c r="N2" s="10"/>
      <c r="O2" s="10"/>
      <c r="P2" s="10"/>
      <c r="Q2" s="10"/>
      <c r="R2" s="10">
        <v>15300</v>
      </c>
      <c r="S2" s="10">
        <v>811911928</v>
      </c>
      <c r="T2" s="10"/>
    </row>
    <row r="3" spans="1:21" x14ac:dyDescent="0.25">
      <c r="A3" s="8">
        <v>44086</v>
      </c>
      <c r="B3" s="4" t="s">
        <v>914</v>
      </c>
      <c r="C3" s="4"/>
      <c r="D3" s="4"/>
      <c r="E3" s="4" t="s">
        <v>2308</v>
      </c>
      <c r="F3" s="4">
        <v>1980</v>
      </c>
      <c r="G3" s="4">
        <v>880</v>
      </c>
      <c r="H3" s="4">
        <v>880</v>
      </c>
      <c r="I3" s="4">
        <v>880</v>
      </c>
      <c r="J3" s="4" t="s">
        <v>1086</v>
      </c>
      <c r="K3" s="4" t="s">
        <v>1185</v>
      </c>
      <c r="L3" s="4" t="s">
        <v>1342</v>
      </c>
      <c r="M3" s="4" t="s">
        <v>1566</v>
      </c>
      <c r="N3" s="4" t="s">
        <v>1809</v>
      </c>
      <c r="O3" s="4" t="s">
        <v>1981</v>
      </c>
      <c r="P3" s="4" t="s">
        <v>2139</v>
      </c>
      <c r="Q3" s="4" t="s">
        <v>2324</v>
      </c>
      <c r="R3" s="4">
        <v>17350</v>
      </c>
      <c r="S3" s="4">
        <v>8125613034</v>
      </c>
      <c r="T3" s="4" t="s">
        <v>1512</v>
      </c>
      <c r="U3" s="30" t="s">
        <v>1793</v>
      </c>
    </row>
    <row r="4" spans="1:21" ht="75" x14ac:dyDescent="0.25">
      <c r="A4" s="8">
        <v>44086</v>
      </c>
      <c r="B4" s="4" t="s">
        <v>915</v>
      </c>
      <c r="C4" s="4"/>
      <c r="D4" s="4"/>
      <c r="E4" s="40" t="s">
        <v>944</v>
      </c>
      <c r="F4" s="4">
        <v>6120</v>
      </c>
      <c r="G4" s="4">
        <v>4000</v>
      </c>
      <c r="H4" s="4">
        <v>6200</v>
      </c>
      <c r="I4" s="4">
        <v>2030</v>
      </c>
      <c r="J4" s="4"/>
      <c r="K4" s="4"/>
      <c r="L4" s="4"/>
      <c r="M4" s="4"/>
      <c r="N4" s="4"/>
      <c r="O4" s="4"/>
      <c r="P4" s="4"/>
      <c r="Q4" s="4"/>
      <c r="R4" s="4">
        <v>18250</v>
      </c>
      <c r="S4" s="4">
        <v>8123385922</v>
      </c>
      <c r="T4" s="4"/>
    </row>
    <row r="5" spans="1:21" x14ac:dyDescent="0.25">
      <c r="A5" s="8">
        <v>44093</v>
      </c>
      <c r="B5" s="4" t="s">
        <v>918</v>
      </c>
      <c r="C5" s="8">
        <v>44337</v>
      </c>
      <c r="D5" s="4"/>
      <c r="E5" s="4" t="s">
        <v>963</v>
      </c>
      <c r="F5" s="4">
        <v>1000</v>
      </c>
      <c r="G5" s="4">
        <v>1000</v>
      </c>
      <c r="H5" s="4">
        <v>1000</v>
      </c>
      <c r="I5" s="4">
        <v>1800</v>
      </c>
      <c r="J5" s="4"/>
      <c r="K5" s="4"/>
      <c r="L5" s="4"/>
      <c r="M5" s="4"/>
      <c r="N5" s="4"/>
      <c r="O5" s="4"/>
      <c r="P5" s="4"/>
      <c r="Q5" s="4"/>
      <c r="R5" s="4">
        <v>4800</v>
      </c>
      <c r="S5" s="4">
        <v>8121903915</v>
      </c>
      <c r="T5" s="4" t="s">
        <v>983</v>
      </c>
    </row>
    <row r="6" spans="1:21" x14ac:dyDescent="0.25">
      <c r="A6" s="8">
        <v>44093</v>
      </c>
      <c r="B6" s="4" t="s">
        <v>921</v>
      </c>
      <c r="C6" s="8">
        <v>44142</v>
      </c>
      <c r="D6" s="4"/>
      <c r="E6" s="4" t="s">
        <v>922</v>
      </c>
      <c r="F6" s="4">
        <v>2000</v>
      </c>
      <c r="G6" s="4">
        <v>4100</v>
      </c>
      <c r="H6" s="4"/>
      <c r="I6" s="4"/>
      <c r="J6" s="4"/>
      <c r="K6" s="4"/>
      <c r="L6" s="4"/>
      <c r="M6" s="4"/>
      <c r="N6" s="4"/>
      <c r="O6" s="4"/>
      <c r="P6" s="4"/>
      <c r="Q6" s="4"/>
      <c r="R6" s="4">
        <v>4000</v>
      </c>
      <c r="S6" s="4">
        <v>8123738744</v>
      </c>
      <c r="T6" s="4"/>
    </row>
    <row r="7" spans="1:21" x14ac:dyDescent="0.25">
      <c r="A7" s="8">
        <v>44093</v>
      </c>
      <c r="B7" s="4" t="s">
        <v>923</v>
      </c>
      <c r="C7" s="8">
        <v>44303</v>
      </c>
      <c r="D7" s="4"/>
      <c r="E7" s="4" t="s">
        <v>657</v>
      </c>
      <c r="F7" s="4">
        <v>1500</v>
      </c>
      <c r="G7" s="4" t="s">
        <v>1060</v>
      </c>
      <c r="H7" s="4" t="s">
        <v>1061</v>
      </c>
      <c r="I7" s="4" t="s">
        <v>1062</v>
      </c>
      <c r="J7" s="4" t="s">
        <v>1009</v>
      </c>
      <c r="K7" s="4" t="s">
        <v>1084</v>
      </c>
      <c r="L7" s="4"/>
      <c r="M7" s="4"/>
      <c r="N7" s="4"/>
      <c r="O7" s="4"/>
      <c r="P7" s="4"/>
      <c r="Q7" s="4"/>
      <c r="R7" s="4">
        <v>11250</v>
      </c>
      <c r="S7" s="4">
        <v>8181379348</v>
      </c>
      <c r="T7" s="4"/>
    </row>
    <row r="8" spans="1:21" x14ac:dyDescent="0.25">
      <c r="A8" s="8">
        <v>44096</v>
      </c>
      <c r="B8" s="4" t="s">
        <v>924</v>
      </c>
      <c r="C8" s="4"/>
      <c r="D8" s="4"/>
      <c r="E8" s="4" t="s">
        <v>1095</v>
      </c>
      <c r="F8" s="4">
        <v>1890</v>
      </c>
      <c r="G8" s="4">
        <v>6010</v>
      </c>
      <c r="H8" s="4" t="s">
        <v>1063</v>
      </c>
      <c r="I8" s="4">
        <v>250</v>
      </c>
      <c r="J8" s="4"/>
      <c r="K8" s="4"/>
      <c r="L8" s="4"/>
      <c r="M8" s="4"/>
      <c r="N8" s="4"/>
      <c r="O8" s="4"/>
      <c r="P8" s="4"/>
      <c r="Q8" s="4"/>
      <c r="R8" s="4">
        <v>9450</v>
      </c>
      <c r="S8" s="4">
        <v>8125766085</v>
      </c>
      <c r="T8" s="4" t="s">
        <v>1096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1"/>
  <sheetViews>
    <sheetView topLeftCell="A8" workbookViewId="0">
      <selection activeCell="E9" sqref="E9"/>
    </sheetView>
  </sheetViews>
  <sheetFormatPr baseColWidth="10" defaultRowHeight="15" x14ac:dyDescent="0.25"/>
  <sheetData>
    <row r="1" spans="1:19" ht="18.75" x14ac:dyDescent="0.4">
      <c r="A1" s="65" t="s">
        <v>9</v>
      </c>
      <c r="B1" s="65" t="s">
        <v>0</v>
      </c>
      <c r="C1" s="65" t="s">
        <v>1</v>
      </c>
      <c r="D1" s="65" t="s">
        <v>206</v>
      </c>
      <c r="E1" s="65" t="s">
        <v>3</v>
      </c>
      <c r="F1" s="65" t="s">
        <v>5</v>
      </c>
      <c r="G1" s="65"/>
      <c r="H1" s="65" t="s">
        <v>6</v>
      </c>
      <c r="I1" s="65"/>
      <c r="J1" s="65" t="s">
        <v>7</v>
      </c>
      <c r="K1" s="65"/>
      <c r="L1" s="65"/>
      <c r="M1" s="65"/>
      <c r="N1" s="65"/>
      <c r="O1" s="65"/>
      <c r="P1" s="65"/>
      <c r="Q1" s="65" t="s">
        <v>270</v>
      </c>
      <c r="R1" s="65" t="s">
        <v>271</v>
      </c>
      <c r="S1" s="58" t="s">
        <v>833</v>
      </c>
    </row>
    <row r="2" spans="1:19" ht="45" x14ac:dyDescent="0.25">
      <c r="A2" s="8">
        <v>44107</v>
      </c>
      <c r="B2" s="4" t="s">
        <v>928</v>
      </c>
      <c r="C2" s="8">
        <v>44175</v>
      </c>
      <c r="D2" s="4"/>
      <c r="E2" s="40" t="s">
        <v>948</v>
      </c>
      <c r="F2" s="4">
        <v>2500</v>
      </c>
      <c r="G2" s="4"/>
      <c r="H2" s="4">
        <v>6000</v>
      </c>
      <c r="I2" s="4"/>
      <c r="J2" s="4">
        <v>4550</v>
      </c>
      <c r="K2" s="4"/>
      <c r="L2" s="4"/>
      <c r="M2" s="4"/>
      <c r="N2" s="4"/>
      <c r="O2" s="4"/>
      <c r="P2" s="4"/>
      <c r="Q2" s="4">
        <v>14950</v>
      </c>
      <c r="R2" s="4"/>
      <c r="S2" s="4"/>
    </row>
    <row r="3" spans="1:19" x14ac:dyDescent="0.25">
      <c r="A3" s="8">
        <v>44109</v>
      </c>
      <c r="B3" s="4" t="s">
        <v>929</v>
      </c>
      <c r="C3" s="6">
        <v>44317</v>
      </c>
      <c r="D3" s="4"/>
      <c r="E3" s="4" t="s">
        <v>1389</v>
      </c>
      <c r="F3" s="4">
        <v>2700</v>
      </c>
      <c r="G3" s="4"/>
      <c r="H3" s="4">
        <v>2700</v>
      </c>
      <c r="I3" s="4">
        <v>2700</v>
      </c>
      <c r="J3" s="4" t="s">
        <v>1071</v>
      </c>
      <c r="K3" s="36" t="s">
        <v>1170</v>
      </c>
      <c r="L3" s="36" t="s">
        <v>1390</v>
      </c>
      <c r="M3" s="36"/>
      <c r="N3" s="36"/>
      <c r="O3" s="36"/>
      <c r="P3" s="36"/>
      <c r="Q3" s="4">
        <v>13500</v>
      </c>
      <c r="R3" s="4">
        <v>98120272934</v>
      </c>
      <c r="S3" s="4"/>
    </row>
    <row r="4" spans="1:19" ht="75" x14ac:dyDescent="0.25">
      <c r="A4" s="8">
        <v>44113</v>
      </c>
      <c r="B4" s="4" t="s">
        <v>930</v>
      </c>
      <c r="C4" s="6">
        <v>44409</v>
      </c>
      <c r="D4" s="4"/>
      <c r="E4" s="40" t="s">
        <v>1442</v>
      </c>
      <c r="F4" s="4">
        <v>3070</v>
      </c>
      <c r="G4" s="4" t="s">
        <v>1330</v>
      </c>
      <c r="H4" s="4" t="s">
        <v>1050</v>
      </c>
      <c r="I4" s="4" t="s">
        <v>1049</v>
      </c>
      <c r="J4" s="4" t="s">
        <v>1051</v>
      </c>
      <c r="K4" s="4" t="s">
        <v>1153</v>
      </c>
      <c r="L4" s="4" t="s">
        <v>1250</v>
      </c>
      <c r="M4" s="4" t="s">
        <v>1367</v>
      </c>
      <c r="N4" s="4" t="s">
        <v>1443</v>
      </c>
      <c r="O4" s="4"/>
      <c r="P4" s="4"/>
      <c r="Q4" s="4">
        <v>16100</v>
      </c>
      <c r="R4" s="4">
        <v>8111932798</v>
      </c>
      <c r="S4" s="4" t="s">
        <v>1002</v>
      </c>
    </row>
    <row r="5" spans="1:19" x14ac:dyDescent="0.25">
      <c r="A5" s="8">
        <v>44114</v>
      </c>
      <c r="B5" s="4" t="s">
        <v>931</v>
      </c>
      <c r="C5" s="4"/>
      <c r="D5" s="4"/>
      <c r="E5" s="4" t="s">
        <v>932</v>
      </c>
      <c r="F5" s="4">
        <v>5976</v>
      </c>
      <c r="G5" s="4"/>
      <c r="H5" s="4">
        <v>5000</v>
      </c>
      <c r="I5" s="4">
        <v>4621</v>
      </c>
      <c r="J5" s="36"/>
      <c r="K5" s="4"/>
      <c r="L5" s="4"/>
      <c r="M5" s="4"/>
      <c r="N5" s="4"/>
      <c r="O5" s="4"/>
      <c r="P5" s="4"/>
      <c r="Q5" s="4">
        <v>16100</v>
      </c>
      <c r="R5" s="4"/>
      <c r="S5" s="4"/>
    </row>
    <row r="6" spans="1:19" x14ac:dyDescent="0.25">
      <c r="A6" s="8">
        <v>44116</v>
      </c>
      <c r="B6" s="4" t="s">
        <v>933</v>
      </c>
      <c r="C6" s="8">
        <v>44184</v>
      </c>
      <c r="D6" s="4"/>
      <c r="E6" s="4" t="s">
        <v>1808</v>
      </c>
      <c r="F6" s="4">
        <v>6000</v>
      </c>
      <c r="G6" s="4"/>
      <c r="H6" s="4">
        <v>4000</v>
      </c>
      <c r="I6" s="4"/>
      <c r="J6" s="4">
        <v>3850</v>
      </c>
      <c r="K6" s="4">
        <v>1400</v>
      </c>
      <c r="L6" s="4"/>
      <c r="M6" s="4"/>
      <c r="N6" s="4"/>
      <c r="O6" s="4"/>
      <c r="P6" s="4"/>
      <c r="Q6" s="4">
        <v>15150</v>
      </c>
      <c r="R6" s="4"/>
      <c r="S6" s="4"/>
    </row>
    <row r="7" spans="1:19" ht="105" x14ac:dyDescent="0.25">
      <c r="A7" s="8">
        <v>44117</v>
      </c>
      <c r="B7" s="4" t="s">
        <v>952</v>
      </c>
      <c r="C7" s="8">
        <v>44338</v>
      </c>
      <c r="D7" s="4"/>
      <c r="E7" s="40" t="s">
        <v>1432</v>
      </c>
      <c r="F7" s="4">
        <v>3000</v>
      </c>
      <c r="G7" s="4"/>
      <c r="H7" s="4">
        <v>3000</v>
      </c>
      <c r="I7" s="4" t="s">
        <v>1048</v>
      </c>
      <c r="J7" s="4" t="s">
        <v>1070</v>
      </c>
      <c r="K7" s="4" t="s">
        <v>1265</v>
      </c>
      <c r="L7" s="4" t="s">
        <v>1348</v>
      </c>
      <c r="M7" s="4" t="s">
        <v>1431</v>
      </c>
      <c r="N7" s="4"/>
      <c r="O7" s="4"/>
      <c r="P7" s="4"/>
      <c r="Q7" s="4">
        <v>17800</v>
      </c>
      <c r="R7" s="4">
        <v>8124667455</v>
      </c>
      <c r="S7" s="4"/>
    </row>
    <row r="8" spans="1:19" x14ac:dyDescent="0.25">
      <c r="A8" s="8">
        <v>44128</v>
      </c>
      <c r="B8" s="4" t="s">
        <v>973</v>
      </c>
      <c r="C8" s="8">
        <v>44471</v>
      </c>
      <c r="D8" s="4"/>
      <c r="E8" s="4" t="s">
        <v>1848</v>
      </c>
      <c r="F8" s="4">
        <v>1980</v>
      </c>
      <c r="G8" s="4"/>
      <c r="H8" s="4">
        <v>1132</v>
      </c>
      <c r="I8" s="4"/>
      <c r="J8" s="4" t="s">
        <v>1023</v>
      </c>
      <c r="K8" s="4" t="s">
        <v>1075</v>
      </c>
      <c r="L8" s="4" t="s">
        <v>1203</v>
      </c>
      <c r="M8" s="4" t="s">
        <v>1304</v>
      </c>
      <c r="N8" s="4" t="s">
        <v>1395</v>
      </c>
      <c r="O8" s="4">
        <v>1138</v>
      </c>
      <c r="P8" s="4" t="s">
        <v>1930</v>
      </c>
      <c r="Q8" s="4">
        <v>10700</v>
      </c>
      <c r="R8" s="4"/>
      <c r="S8" s="4"/>
    </row>
    <row r="9" spans="1:19" ht="75" x14ac:dyDescent="0.25">
      <c r="A9" s="8">
        <v>44135</v>
      </c>
      <c r="B9" s="4" t="s">
        <v>1007</v>
      </c>
      <c r="C9" s="4"/>
      <c r="D9" s="4"/>
      <c r="E9" s="40" t="s">
        <v>997</v>
      </c>
      <c r="F9" s="4">
        <v>4820</v>
      </c>
      <c r="G9" s="4"/>
      <c r="H9" s="4">
        <v>3615</v>
      </c>
      <c r="I9" s="4"/>
      <c r="J9" s="4">
        <v>3615</v>
      </c>
      <c r="K9" s="4"/>
      <c r="L9" s="4"/>
      <c r="M9" s="4"/>
      <c r="N9" s="4"/>
      <c r="O9" s="4"/>
      <c r="P9" s="4"/>
      <c r="Q9" s="4">
        <v>12000</v>
      </c>
      <c r="R9" s="4"/>
      <c r="S9" s="4"/>
    </row>
    <row r="10" spans="1:19" x14ac:dyDescent="0.25">
      <c r="A10" s="8">
        <v>44135</v>
      </c>
      <c r="B10" s="4" t="s">
        <v>940</v>
      </c>
      <c r="C10" s="4"/>
      <c r="D10" s="4"/>
      <c r="E10" s="4"/>
      <c r="F10" s="4">
        <v>2000</v>
      </c>
      <c r="G10" s="4"/>
      <c r="H10" s="4">
        <v>3325</v>
      </c>
      <c r="I10" s="4" t="s">
        <v>1176</v>
      </c>
      <c r="J10" s="4" t="s">
        <v>1208</v>
      </c>
      <c r="K10" s="4"/>
      <c r="L10" s="4"/>
      <c r="M10" s="4"/>
      <c r="N10" s="4"/>
      <c r="O10" s="4"/>
      <c r="P10" s="4"/>
      <c r="Q10" s="4">
        <v>19000</v>
      </c>
      <c r="R10" s="4"/>
      <c r="S10" s="4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3"/>
  <sheetViews>
    <sheetView topLeftCell="A4" workbookViewId="0">
      <selection activeCell="B17" sqref="B17"/>
    </sheetView>
  </sheetViews>
  <sheetFormatPr baseColWidth="10" defaultRowHeight="15" x14ac:dyDescent="0.25"/>
  <sheetData>
    <row r="1" spans="1:15" ht="18.75" x14ac:dyDescent="0.4">
      <c r="A1" s="65" t="s">
        <v>9</v>
      </c>
      <c r="B1" s="65" t="s">
        <v>0</v>
      </c>
      <c r="C1" s="65" t="s">
        <v>1</v>
      </c>
      <c r="D1" s="65" t="s">
        <v>206</v>
      </c>
      <c r="E1" s="65" t="s">
        <v>3</v>
      </c>
      <c r="F1" s="65" t="s">
        <v>5</v>
      </c>
      <c r="G1" s="65" t="s">
        <v>6</v>
      </c>
      <c r="H1" s="65" t="s">
        <v>7</v>
      </c>
      <c r="I1" s="65"/>
      <c r="J1" s="65"/>
      <c r="K1" s="65"/>
      <c r="L1" s="65"/>
      <c r="M1" s="65"/>
      <c r="N1" s="65" t="s">
        <v>271</v>
      </c>
      <c r="O1" s="58" t="s">
        <v>833</v>
      </c>
    </row>
    <row r="2" spans="1:15" x14ac:dyDescent="0.25">
      <c r="A2" s="8">
        <v>44141</v>
      </c>
      <c r="B2" s="4" t="s">
        <v>946</v>
      </c>
      <c r="C2" s="8">
        <v>44268</v>
      </c>
      <c r="D2" s="4"/>
      <c r="E2" s="4" t="s">
        <v>947</v>
      </c>
      <c r="F2" s="4">
        <v>4300</v>
      </c>
      <c r="G2" s="4" t="s">
        <v>1041</v>
      </c>
      <c r="H2" s="4" t="s">
        <v>1042</v>
      </c>
      <c r="I2" s="4"/>
      <c r="J2" s="4" t="s">
        <v>1128</v>
      </c>
      <c r="K2" s="4"/>
      <c r="L2" s="4"/>
      <c r="M2" s="4"/>
      <c r="N2" s="4">
        <v>8211268816</v>
      </c>
      <c r="O2" s="4" t="s">
        <v>1136</v>
      </c>
    </row>
    <row r="3" spans="1:15" ht="75" x14ac:dyDescent="0.25">
      <c r="A3" s="8">
        <v>44142</v>
      </c>
      <c r="B3" s="4" t="s">
        <v>950</v>
      </c>
      <c r="C3" s="8">
        <v>44192</v>
      </c>
      <c r="D3" s="4"/>
      <c r="E3" s="40" t="s">
        <v>951</v>
      </c>
      <c r="F3" s="4">
        <v>3957</v>
      </c>
      <c r="G3" s="4">
        <v>150</v>
      </c>
      <c r="H3" s="4">
        <v>4756</v>
      </c>
      <c r="I3" s="4"/>
      <c r="J3" s="4"/>
      <c r="K3" s="4"/>
      <c r="L3" s="4"/>
      <c r="M3" s="4"/>
      <c r="N3" s="4">
        <v>8182707371</v>
      </c>
      <c r="O3" s="4"/>
    </row>
    <row r="4" spans="1:15" x14ac:dyDescent="0.25">
      <c r="A4" s="8">
        <v>44145</v>
      </c>
      <c r="B4" s="4" t="s">
        <v>954</v>
      </c>
      <c r="C4" s="6">
        <v>44256</v>
      </c>
      <c r="D4" s="4"/>
      <c r="E4" s="4" t="s">
        <v>955</v>
      </c>
      <c r="F4" s="4">
        <v>2100</v>
      </c>
      <c r="G4" s="4" t="s">
        <v>1052</v>
      </c>
      <c r="H4" s="4" t="s">
        <v>1053</v>
      </c>
      <c r="I4" s="4" t="s">
        <v>1143</v>
      </c>
      <c r="J4" s="4"/>
      <c r="K4" s="4"/>
      <c r="L4" s="4"/>
      <c r="M4" s="4"/>
      <c r="N4" s="4">
        <v>8261590723</v>
      </c>
      <c r="O4" s="4" t="s">
        <v>1135</v>
      </c>
    </row>
    <row r="5" spans="1:15" x14ac:dyDescent="0.25">
      <c r="A5" s="8">
        <v>44146</v>
      </c>
      <c r="B5" s="4" t="s">
        <v>956</v>
      </c>
      <c r="C5" s="8">
        <v>44457</v>
      </c>
      <c r="D5" s="4"/>
      <c r="E5" s="4" t="s">
        <v>1587</v>
      </c>
      <c r="F5" s="4">
        <v>1881</v>
      </c>
      <c r="G5" s="4" t="s">
        <v>1015</v>
      </c>
      <c r="H5" s="4" t="s">
        <v>1115</v>
      </c>
      <c r="I5" s="4" t="s">
        <v>1184</v>
      </c>
      <c r="J5" s="4" t="s">
        <v>1410</v>
      </c>
      <c r="K5" s="4" t="s">
        <v>1588</v>
      </c>
      <c r="L5" s="4" t="s">
        <v>1792</v>
      </c>
      <c r="M5" s="4"/>
      <c r="N5" s="4">
        <v>8119991476</v>
      </c>
      <c r="O5" s="4" t="s">
        <v>1755</v>
      </c>
    </row>
    <row r="6" spans="1:15" x14ac:dyDescent="0.25">
      <c r="A6" s="8">
        <v>44149</v>
      </c>
      <c r="B6" s="4" t="s">
        <v>960</v>
      </c>
      <c r="C6" s="8">
        <v>44365</v>
      </c>
      <c r="D6" s="4"/>
      <c r="E6" s="4" t="s">
        <v>941</v>
      </c>
      <c r="F6" s="4">
        <v>3000</v>
      </c>
      <c r="G6" s="4" t="s">
        <v>1010</v>
      </c>
      <c r="H6" s="4" t="s">
        <v>1177</v>
      </c>
      <c r="I6" s="4" t="s">
        <v>1280</v>
      </c>
      <c r="J6" s="4">
        <v>2852</v>
      </c>
      <c r="K6" s="4"/>
      <c r="L6" s="4"/>
      <c r="M6" s="4"/>
      <c r="N6" s="4">
        <v>8119827075</v>
      </c>
      <c r="O6" s="4" t="s">
        <v>957</v>
      </c>
    </row>
    <row r="7" spans="1:15" x14ac:dyDescent="0.25">
      <c r="A7" s="26">
        <v>44149</v>
      </c>
      <c r="B7" s="10" t="s">
        <v>961</v>
      </c>
      <c r="C7" s="10"/>
      <c r="D7" s="10"/>
      <c r="E7" s="10" t="s">
        <v>962</v>
      </c>
      <c r="F7" s="10">
        <v>2500</v>
      </c>
      <c r="G7" s="10"/>
      <c r="H7" s="10"/>
      <c r="I7" s="10"/>
      <c r="J7" s="10"/>
      <c r="K7" s="10"/>
      <c r="L7" s="10"/>
      <c r="M7" s="10"/>
      <c r="N7" s="10">
        <v>8184720567</v>
      </c>
      <c r="O7" s="10" t="s">
        <v>957</v>
      </c>
    </row>
    <row r="8" spans="1:15" x14ac:dyDescent="0.25">
      <c r="A8" s="8">
        <v>44149</v>
      </c>
      <c r="B8" s="4" t="s">
        <v>964</v>
      </c>
      <c r="C8" s="8">
        <v>44422</v>
      </c>
      <c r="D8" s="4"/>
      <c r="E8" s="4" t="s">
        <v>965</v>
      </c>
      <c r="F8" s="4">
        <v>2907</v>
      </c>
      <c r="G8" s="4">
        <v>3000</v>
      </c>
      <c r="H8" s="4" t="s">
        <v>1074</v>
      </c>
      <c r="I8" s="4" t="s">
        <v>1171</v>
      </c>
      <c r="J8" s="4" t="s">
        <v>1218</v>
      </c>
      <c r="K8" s="4"/>
      <c r="L8" s="4"/>
      <c r="M8" s="4"/>
      <c r="N8" s="4">
        <v>8110066132</v>
      </c>
      <c r="O8" s="4" t="s">
        <v>957</v>
      </c>
    </row>
    <row r="9" spans="1:15" x14ac:dyDescent="0.25">
      <c r="A9" s="8">
        <v>44151</v>
      </c>
      <c r="B9" s="4" t="s">
        <v>966</v>
      </c>
      <c r="C9" s="4"/>
      <c r="D9" s="4"/>
      <c r="E9" s="4" t="s">
        <v>982</v>
      </c>
      <c r="F9" s="4">
        <v>1300</v>
      </c>
      <c r="G9" s="4">
        <v>1000</v>
      </c>
      <c r="H9" s="4">
        <v>3300</v>
      </c>
      <c r="I9" s="4"/>
      <c r="J9" s="4"/>
      <c r="K9" s="4"/>
      <c r="L9" s="4"/>
      <c r="M9" s="4"/>
      <c r="N9" s="4"/>
      <c r="O9" s="4"/>
    </row>
    <row r="10" spans="1:15" x14ac:dyDescent="0.25">
      <c r="A10" s="8">
        <v>44155</v>
      </c>
      <c r="B10" s="4" t="s">
        <v>968</v>
      </c>
      <c r="C10" s="8">
        <v>44499</v>
      </c>
      <c r="D10" s="4"/>
      <c r="E10" s="4" t="s">
        <v>941</v>
      </c>
      <c r="F10" s="4">
        <v>2000</v>
      </c>
      <c r="G10" s="4">
        <v>907</v>
      </c>
      <c r="H10" s="4" t="s">
        <v>999</v>
      </c>
      <c r="I10" s="4" t="s">
        <v>1204</v>
      </c>
      <c r="J10" s="4" t="s">
        <v>1263</v>
      </c>
      <c r="K10" s="4" t="s">
        <v>1440</v>
      </c>
      <c r="L10" s="4"/>
      <c r="M10" s="4"/>
      <c r="N10" s="4"/>
      <c r="O10" s="4" t="s">
        <v>957</v>
      </c>
    </row>
    <row r="11" spans="1:15" x14ac:dyDescent="0.25">
      <c r="A11" s="8">
        <v>44158</v>
      </c>
      <c r="B11" s="4" t="s">
        <v>971</v>
      </c>
      <c r="C11" s="4"/>
      <c r="D11" s="4"/>
      <c r="E11" s="4" t="s">
        <v>972</v>
      </c>
      <c r="F11" s="4">
        <v>1000</v>
      </c>
      <c r="G11" s="4">
        <v>100</v>
      </c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8">
        <v>44161</v>
      </c>
      <c r="B12" s="4" t="s">
        <v>974</v>
      </c>
      <c r="C12" s="8">
        <v>44402</v>
      </c>
      <c r="D12" s="4"/>
      <c r="E12" s="4" t="s">
        <v>1645</v>
      </c>
      <c r="F12" s="4">
        <v>1000</v>
      </c>
      <c r="G12" s="4">
        <v>1250</v>
      </c>
      <c r="H12" s="4" t="s">
        <v>1187</v>
      </c>
      <c r="I12" s="4" t="s">
        <v>1232</v>
      </c>
      <c r="J12" s="4" t="s">
        <v>1238</v>
      </c>
      <c r="K12" s="4" t="s">
        <v>1435</v>
      </c>
      <c r="L12" s="4">
        <v>600</v>
      </c>
      <c r="M12" s="4" t="s">
        <v>1723</v>
      </c>
      <c r="N12" s="4">
        <v>8119556668</v>
      </c>
      <c r="O12" s="4"/>
    </row>
    <row r="13" spans="1:15" x14ac:dyDescent="0.25">
      <c r="A13" s="8">
        <v>44162</v>
      </c>
      <c r="B13" s="4" t="s">
        <v>975</v>
      </c>
      <c r="C13" s="4"/>
      <c r="D13" s="4"/>
      <c r="E13" s="4" t="s">
        <v>941</v>
      </c>
      <c r="F13" s="4">
        <v>3060</v>
      </c>
      <c r="G13" s="4" t="s">
        <v>1025</v>
      </c>
      <c r="H13" s="4" t="s">
        <v>1102</v>
      </c>
      <c r="I13" s="4" t="s">
        <v>1199</v>
      </c>
      <c r="J13" s="4" t="s">
        <v>1319</v>
      </c>
      <c r="K13" s="5">
        <v>44314</v>
      </c>
      <c r="L13" s="5"/>
      <c r="M13" s="5"/>
      <c r="N13" s="4" t="s">
        <v>976</v>
      </c>
      <c r="O13" s="4" t="s">
        <v>1320</v>
      </c>
    </row>
    <row r="14" spans="1:15" x14ac:dyDescent="0.25">
      <c r="A14" s="8">
        <v>44162</v>
      </c>
      <c r="B14" s="4" t="s">
        <v>984</v>
      </c>
      <c r="C14" s="4"/>
      <c r="D14" s="4"/>
      <c r="E14" s="4" t="s">
        <v>1155</v>
      </c>
      <c r="F14" s="4">
        <v>8000</v>
      </c>
      <c r="G14" s="4" t="s">
        <v>1032</v>
      </c>
      <c r="H14" s="4">
        <v>2450</v>
      </c>
      <c r="I14" s="4"/>
      <c r="J14" s="4"/>
      <c r="K14" s="4"/>
      <c r="L14" s="4"/>
      <c r="M14" s="4"/>
      <c r="N14" s="4">
        <v>8110820958</v>
      </c>
      <c r="O14" s="4"/>
    </row>
    <row r="15" spans="1:15" x14ac:dyDescent="0.25">
      <c r="A15" s="8">
        <v>44163</v>
      </c>
      <c r="B15" s="4" t="s">
        <v>1020</v>
      </c>
      <c r="C15" s="4"/>
      <c r="D15" s="4"/>
      <c r="E15" s="4" t="s">
        <v>1602</v>
      </c>
      <c r="F15" s="4">
        <v>2250</v>
      </c>
      <c r="G15" s="4" t="s">
        <v>1021</v>
      </c>
      <c r="H15" s="4" t="s">
        <v>1088</v>
      </c>
      <c r="I15" s="4" t="s">
        <v>1183</v>
      </c>
      <c r="J15" s="4" t="s">
        <v>1361</v>
      </c>
      <c r="K15" s="4" t="s">
        <v>1631</v>
      </c>
      <c r="L15" s="4" t="s">
        <v>1681</v>
      </c>
      <c r="M15" s="4"/>
      <c r="N15" s="4">
        <v>8114658848</v>
      </c>
      <c r="O15" s="4"/>
    </row>
    <row r="16" spans="1:15" x14ac:dyDescent="0.25">
      <c r="A16" s="8" t="s">
        <v>1530</v>
      </c>
      <c r="B16" s="4" t="s">
        <v>1682</v>
      </c>
      <c r="C16" s="4"/>
      <c r="D16" s="4"/>
      <c r="E16" s="4" t="s">
        <v>977</v>
      </c>
      <c r="F16" s="4">
        <v>1500</v>
      </c>
      <c r="G16" s="4">
        <v>5000</v>
      </c>
      <c r="H16" s="4">
        <v>1000</v>
      </c>
      <c r="I16" s="4"/>
      <c r="J16" s="4"/>
      <c r="K16" s="4"/>
      <c r="L16" s="4"/>
      <c r="M16" s="4"/>
      <c r="N16" s="4">
        <v>8111829987</v>
      </c>
      <c r="O16" s="4"/>
    </row>
    <row r="17" spans="1:15" x14ac:dyDescent="0.25">
      <c r="A17" s="8">
        <v>44163</v>
      </c>
      <c r="B17" s="4" t="s">
        <v>978</v>
      </c>
      <c r="C17" s="4"/>
      <c r="D17" s="4"/>
      <c r="E17" s="4" t="s">
        <v>672</v>
      </c>
      <c r="F17" s="4">
        <v>1550</v>
      </c>
      <c r="G17" s="4">
        <v>3700</v>
      </c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8">
        <v>44163</v>
      </c>
      <c r="B18" s="4" t="s">
        <v>979</v>
      </c>
      <c r="C18" s="4"/>
      <c r="D18" s="4"/>
      <c r="E18" s="4" t="s">
        <v>1087</v>
      </c>
      <c r="F18" s="4">
        <v>2250</v>
      </c>
      <c r="G18" s="4">
        <v>5000</v>
      </c>
      <c r="H18" s="4">
        <v>1240</v>
      </c>
      <c r="I18" s="4">
        <v>5860</v>
      </c>
      <c r="J18" s="4"/>
      <c r="K18" s="4"/>
      <c r="L18" s="4"/>
      <c r="M18" s="4"/>
      <c r="N18" s="4">
        <v>8119227689</v>
      </c>
      <c r="O18" s="4"/>
    </row>
    <row r="19" spans="1:15" x14ac:dyDescent="0.25">
      <c r="A19" s="8">
        <v>44163</v>
      </c>
      <c r="B19" s="4" t="s">
        <v>980</v>
      </c>
      <c r="C19" s="6">
        <v>44317</v>
      </c>
      <c r="D19" s="4"/>
      <c r="E19" s="4" t="s">
        <v>981</v>
      </c>
      <c r="F19" s="4">
        <v>3400</v>
      </c>
      <c r="G19" s="4">
        <v>3400</v>
      </c>
      <c r="H19" s="4"/>
      <c r="I19" s="4"/>
      <c r="J19" s="4"/>
      <c r="K19" s="4"/>
      <c r="L19" s="4"/>
      <c r="M19" s="4"/>
      <c r="N19" s="4">
        <v>8182048192</v>
      </c>
      <c r="O19" s="4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2" spans="1:15" x14ac:dyDescent="0.25">
      <c r="B22" t="s">
        <v>1941</v>
      </c>
    </row>
    <row r="23" spans="1:15" x14ac:dyDescent="0.25">
      <c r="H23" s="16"/>
      <c r="I23" s="16"/>
      <c r="J23" s="16"/>
      <c r="K23" s="16"/>
      <c r="L23" s="16"/>
      <c r="M23" s="1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topLeftCell="A2" workbookViewId="0"/>
  </sheetViews>
  <sheetFormatPr baseColWidth="10" defaultRowHeight="15" x14ac:dyDescent="0.25"/>
  <sheetData>
    <row r="1" spans="1:15" ht="18.75" x14ac:dyDescent="0.4">
      <c r="A1" s="59" t="s">
        <v>9</v>
      </c>
      <c r="B1" s="59" t="s">
        <v>0</v>
      </c>
      <c r="C1" s="59" t="s">
        <v>1</v>
      </c>
      <c r="D1" s="59" t="s">
        <v>206</v>
      </c>
      <c r="E1" s="59" t="s">
        <v>3</v>
      </c>
      <c r="F1" s="59" t="s">
        <v>5</v>
      </c>
      <c r="G1" s="59" t="s">
        <v>6</v>
      </c>
      <c r="H1" s="59" t="s">
        <v>7</v>
      </c>
      <c r="I1" s="59"/>
      <c r="J1" s="59"/>
      <c r="K1" s="59"/>
      <c r="L1" s="59"/>
      <c r="M1" s="59" t="s">
        <v>270</v>
      </c>
      <c r="N1" s="59" t="s">
        <v>271</v>
      </c>
      <c r="O1" s="67" t="s">
        <v>833</v>
      </c>
    </row>
    <row r="2" spans="1:15" ht="30" x14ac:dyDescent="0.25">
      <c r="A2" s="8">
        <v>44168</v>
      </c>
      <c r="B2" s="4" t="s">
        <v>986</v>
      </c>
      <c r="C2" s="8">
        <v>44317</v>
      </c>
      <c r="D2" s="4"/>
      <c r="E2" s="4" t="s">
        <v>1362</v>
      </c>
      <c r="F2" s="4">
        <v>1040</v>
      </c>
      <c r="G2" s="40" t="s">
        <v>1036</v>
      </c>
      <c r="H2" s="4" t="s">
        <v>1035</v>
      </c>
      <c r="I2" s="4" t="s">
        <v>1159</v>
      </c>
      <c r="J2" s="4" t="s">
        <v>1239</v>
      </c>
      <c r="K2" s="4" t="s">
        <v>1253</v>
      </c>
      <c r="L2" s="4">
        <v>460</v>
      </c>
      <c r="M2" s="4">
        <v>6250</v>
      </c>
      <c r="N2" s="4">
        <v>8128244041</v>
      </c>
      <c r="O2" s="4" t="s">
        <v>998</v>
      </c>
    </row>
    <row r="3" spans="1:15" x14ac:dyDescent="0.25">
      <c r="A3" s="8">
        <v>44168</v>
      </c>
      <c r="B3" s="4" t="s">
        <v>987</v>
      </c>
      <c r="C3" s="8">
        <v>44366</v>
      </c>
      <c r="D3" s="4"/>
      <c r="E3" s="4" t="s">
        <v>988</v>
      </c>
      <c r="F3" s="4">
        <v>2700</v>
      </c>
      <c r="G3" s="4" t="s">
        <v>1022</v>
      </c>
      <c r="H3" s="4" t="s">
        <v>1125</v>
      </c>
      <c r="I3" s="4" t="s">
        <v>1237</v>
      </c>
      <c r="J3" s="4" t="s">
        <v>1307</v>
      </c>
      <c r="K3" s="4"/>
      <c r="L3" s="4"/>
      <c r="M3" s="4">
        <v>13500</v>
      </c>
      <c r="N3" s="4">
        <v>8123438828</v>
      </c>
      <c r="O3" s="4"/>
    </row>
    <row r="4" spans="1:15" x14ac:dyDescent="0.25">
      <c r="A4" s="8">
        <v>44169</v>
      </c>
      <c r="B4" s="4" t="s">
        <v>989</v>
      </c>
      <c r="C4" s="8">
        <v>44126</v>
      </c>
      <c r="D4" s="4"/>
      <c r="E4" s="4" t="s">
        <v>990</v>
      </c>
      <c r="F4" s="4">
        <v>2000</v>
      </c>
      <c r="G4" s="4" t="s">
        <v>1034</v>
      </c>
      <c r="H4" s="4" t="s">
        <v>1140</v>
      </c>
      <c r="I4" s="4"/>
      <c r="J4" s="4"/>
      <c r="K4" s="4"/>
      <c r="L4" s="4"/>
      <c r="M4" s="4">
        <v>4000</v>
      </c>
      <c r="N4" s="4">
        <v>8111784703</v>
      </c>
      <c r="O4" s="4"/>
    </row>
    <row r="5" spans="1:15" x14ac:dyDescent="0.25">
      <c r="A5" s="8">
        <v>44170</v>
      </c>
      <c r="B5" s="4" t="s">
        <v>992</v>
      </c>
      <c r="C5" s="8">
        <v>44324</v>
      </c>
      <c r="D5" s="4"/>
      <c r="E5" s="4" t="s">
        <v>993</v>
      </c>
      <c r="F5" s="4">
        <v>2000</v>
      </c>
      <c r="G5" s="4" t="s">
        <v>1078</v>
      </c>
      <c r="H5" s="4" t="s">
        <v>1181</v>
      </c>
      <c r="I5" s="4" t="s">
        <v>1366</v>
      </c>
      <c r="J5" s="4"/>
      <c r="K5" s="4"/>
      <c r="L5" s="4"/>
      <c r="M5" s="4">
        <v>10000</v>
      </c>
      <c r="N5" s="4">
        <v>8115093245</v>
      </c>
      <c r="O5" s="4"/>
    </row>
    <row r="6" spans="1:15" x14ac:dyDescent="0.25">
      <c r="A6" s="8">
        <v>44170</v>
      </c>
      <c r="B6" s="4" t="s">
        <v>994</v>
      </c>
      <c r="C6" s="8">
        <v>44527</v>
      </c>
      <c r="D6" s="4"/>
      <c r="E6" s="4" t="s">
        <v>779</v>
      </c>
      <c r="F6" s="4">
        <v>2250</v>
      </c>
      <c r="G6" s="4" t="s">
        <v>1037</v>
      </c>
      <c r="H6" s="4" t="s">
        <v>1146</v>
      </c>
      <c r="I6" s="4" t="s">
        <v>1289</v>
      </c>
      <c r="J6" s="4" t="s">
        <v>1559</v>
      </c>
      <c r="K6" s="4" t="s">
        <v>1924</v>
      </c>
      <c r="L6" s="4"/>
      <c r="M6" s="4">
        <v>11250</v>
      </c>
      <c r="N6" s="4">
        <v>8110490384</v>
      </c>
      <c r="O6" s="4"/>
    </row>
    <row r="7" spans="1:15" x14ac:dyDescent="0.25">
      <c r="A7" s="8">
        <v>44170</v>
      </c>
      <c r="B7" s="4" t="s">
        <v>1860</v>
      </c>
      <c r="C7" s="4"/>
      <c r="D7" s="4"/>
      <c r="E7" s="4" t="s">
        <v>1861</v>
      </c>
      <c r="F7" s="4">
        <v>2250</v>
      </c>
      <c r="G7" s="4" t="s">
        <v>1040</v>
      </c>
      <c r="H7" s="4" t="s">
        <v>1205</v>
      </c>
      <c r="I7" s="4" t="s">
        <v>1351</v>
      </c>
      <c r="J7" s="4" t="s">
        <v>1473</v>
      </c>
      <c r="K7" s="4" t="s">
        <v>1663</v>
      </c>
      <c r="L7" s="4" t="s">
        <v>1862</v>
      </c>
      <c r="M7" s="4">
        <v>11250</v>
      </c>
      <c r="N7" s="4">
        <v>8116559578</v>
      </c>
      <c r="O7" s="4"/>
    </row>
    <row r="8" spans="1:15" ht="105" x14ac:dyDescent="0.25">
      <c r="A8" s="8">
        <v>44170</v>
      </c>
      <c r="B8" s="4" t="s">
        <v>1058</v>
      </c>
      <c r="C8" s="8">
        <v>44408</v>
      </c>
      <c r="D8" s="4"/>
      <c r="E8" s="40" t="s">
        <v>1694</v>
      </c>
      <c r="F8" s="4">
        <v>1980</v>
      </c>
      <c r="G8" s="4" t="s">
        <v>1064</v>
      </c>
      <c r="H8" s="4" t="s">
        <v>1141</v>
      </c>
      <c r="I8" s="4" t="s">
        <v>1242</v>
      </c>
      <c r="J8" s="4" t="s">
        <v>1433</v>
      </c>
      <c r="K8" s="4" t="s">
        <v>1695</v>
      </c>
      <c r="L8" s="4">
        <v>1550</v>
      </c>
      <c r="M8" s="4">
        <v>10950</v>
      </c>
      <c r="N8" s="4">
        <v>8111022930</v>
      </c>
      <c r="O8" s="40"/>
    </row>
    <row r="9" spans="1:15" x14ac:dyDescent="0.25">
      <c r="A9" s="8">
        <v>44170</v>
      </c>
      <c r="B9" s="4" t="s">
        <v>1901</v>
      </c>
      <c r="C9" s="4"/>
      <c r="D9" s="4"/>
      <c r="E9" s="4" t="s">
        <v>996</v>
      </c>
      <c r="F9" s="4">
        <v>2800</v>
      </c>
      <c r="G9" s="4" t="s">
        <v>1035</v>
      </c>
      <c r="H9" s="4" t="s">
        <v>1145</v>
      </c>
      <c r="I9" s="4"/>
      <c r="J9" s="4"/>
      <c r="K9" s="4"/>
      <c r="L9" s="4"/>
      <c r="M9" s="4">
        <v>7000</v>
      </c>
      <c r="N9" s="4">
        <v>8119052247</v>
      </c>
      <c r="O9" s="4"/>
    </row>
    <row r="10" spans="1:15" ht="90" x14ac:dyDescent="0.25">
      <c r="A10" s="8">
        <v>44177</v>
      </c>
      <c r="B10" s="4" t="s">
        <v>1001</v>
      </c>
      <c r="C10" s="8">
        <v>44232</v>
      </c>
      <c r="D10" s="4"/>
      <c r="E10" s="40" t="s">
        <v>1113</v>
      </c>
      <c r="F10" s="4">
        <v>2000</v>
      </c>
      <c r="G10" s="4" t="s">
        <v>1059</v>
      </c>
      <c r="H10" s="4" t="s">
        <v>1080</v>
      </c>
      <c r="I10" s="4" t="s">
        <v>1121</v>
      </c>
      <c r="J10" s="4"/>
      <c r="K10" s="4"/>
      <c r="L10" s="4"/>
      <c r="M10" s="4">
        <v>11550</v>
      </c>
      <c r="N10" s="4">
        <v>8123814625</v>
      </c>
      <c r="O10" s="4"/>
    </row>
    <row r="11" spans="1:15" ht="135" x14ac:dyDescent="0.25">
      <c r="A11" s="8">
        <v>44177</v>
      </c>
      <c r="B11" s="4" t="s">
        <v>1065</v>
      </c>
      <c r="C11" s="4" t="s">
        <v>1752</v>
      </c>
      <c r="D11" s="4"/>
      <c r="E11" s="40" t="s">
        <v>1501</v>
      </c>
      <c r="F11" s="4">
        <v>2000</v>
      </c>
      <c r="G11" s="4" t="s">
        <v>1066</v>
      </c>
      <c r="H11" s="4" t="s">
        <v>1172</v>
      </c>
      <c r="I11" s="4" t="s">
        <v>1264</v>
      </c>
      <c r="J11" s="4" t="s">
        <v>1332</v>
      </c>
      <c r="K11" s="4" t="s">
        <v>1424</v>
      </c>
      <c r="L11" s="4">
        <v>400</v>
      </c>
      <c r="M11" s="4">
        <v>14800</v>
      </c>
      <c r="N11" s="4"/>
      <c r="O11" s="4"/>
    </row>
    <row r="12" spans="1:15" x14ac:dyDescent="0.25">
      <c r="A12" s="5">
        <v>44180</v>
      </c>
      <c r="B12" s="4" t="s">
        <v>1003</v>
      </c>
      <c r="C12" s="4"/>
      <c r="D12" s="4"/>
      <c r="E12" s="4" t="s">
        <v>111</v>
      </c>
      <c r="F12" s="4">
        <v>6900</v>
      </c>
      <c r="G12" s="4" t="s">
        <v>1085</v>
      </c>
      <c r="H12" s="4" t="s">
        <v>1186</v>
      </c>
      <c r="I12" s="4">
        <v>3450</v>
      </c>
      <c r="J12" s="4"/>
      <c r="K12" s="4"/>
      <c r="L12" s="4"/>
      <c r="M12" s="4">
        <v>17250</v>
      </c>
      <c r="N12" s="4"/>
      <c r="O12" s="4"/>
    </row>
    <row r="13" spans="1:15" x14ac:dyDescent="0.25">
      <c r="A13" s="8">
        <v>44180</v>
      </c>
      <c r="B13" s="4" t="s">
        <v>1004</v>
      </c>
      <c r="C13" s="4"/>
      <c r="D13" s="4"/>
      <c r="E13" s="4" t="s">
        <v>1005</v>
      </c>
      <c r="F13" s="4">
        <v>7200</v>
      </c>
      <c r="G13" s="4" t="s">
        <v>1094</v>
      </c>
      <c r="H13" s="4" t="s">
        <v>1190</v>
      </c>
      <c r="I13" s="4"/>
      <c r="J13" s="4"/>
      <c r="K13" s="4"/>
      <c r="L13" s="4"/>
      <c r="M13" s="4" t="s">
        <v>1006</v>
      </c>
      <c r="N13" s="4">
        <v>8291006371</v>
      </c>
      <c r="O13" s="4">
        <v>17800</v>
      </c>
    </row>
    <row r="14" spans="1:15" ht="45" x14ac:dyDescent="0.25">
      <c r="A14" s="8">
        <v>44184</v>
      </c>
      <c r="B14" s="4" t="s">
        <v>1011</v>
      </c>
      <c r="C14" s="8">
        <v>44338</v>
      </c>
      <c r="D14" s="4"/>
      <c r="E14" s="40" t="s">
        <v>1392</v>
      </c>
      <c r="F14" s="4">
        <v>9050</v>
      </c>
      <c r="G14" s="4" t="s">
        <v>1093</v>
      </c>
      <c r="H14" s="4" t="s">
        <v>1198</v>
      </c>
      <c r="I14" s="4" t="s">
        <v>1269</v>
      </c>
      <c r="J14" s="4" t="s">
        <v>1393</v>
      </c>
      <c r="K14" s="4"/>
      <c r="L14" s="4"/>
      <c r="M14" s="4">
        <v>18550</v>
      </c>
      <c r="N14" s="4">
        <v>8771298163</v>
      </c>
      <c r="O14" s="4"/>
    </row>
    <row r="15" spans="1:15" ht="90" x14ac:dyDescent="0.25">
      <c r="A15" s="8">
        <v>44187</v>
      </c>
      <c r="B15" s="4" t="s">
        <v>1016</v>
      </c>
      <c r="C15" s="4"/>
      <c r="D15" s="4"/>
      <c r="E15" s="40" t="s">
        <v>1157</v>
      </c>
      <c r="F15" s="4">
        <v>2000</v>
      </c>
      <c r="G15" s="4">
        <v>1800</v>
      </c>
      <c r="H15" s="4" t="s">
        <v>1158</v>
      </c>
      <c r="I15" s="4"/>
      <c r="J15" s="4"/>
      <c r="K15" s="4"/>
      <c r="L15" s="4"/>
      <c r="M15" s="4">
        <v>5400</v>
      </c>
      <c r="N15" s="4"/>
      <c r="O15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37"/>
  <sheetViews>
    <sheetView topLeftCell="A19" workbookViewId="0"/>
  </sheetViews>
  <sheetFormatPr baseColWidth="10" defaultRowHeight="15" x14ac:dyDescent="0.25"/>
  <sheetData>
    <row r="1" spans="1:18" ht="18.75" x14ac:dyDescent="0.4">
      <c r="A1" s="65" t="s">
        <v>9</v>
      </c>
      <c r="B1" s="65" t="s">
        <v>0</v>
      </c>
      <c r="C1" s="65" t="s">
        <v>1</v>
      </c>
      <c r="D1" s="65" t="s">
        <v>206</v>
      </c>
      <c r="E1" s="65" t="s">
        <v>3</v>
      </c>
      <c r="F1" s="65" t="s">
        <v>5</v>
      </c>
      <c r="G1" s="65"/>
      <c r="H1" s="65" t="s">
        <v>6</v>
      </c>
      <c r="I1" s="65"/>
      <c r="J1" s="65"/>
      <c r="K1" s="65" t="s">
        <v>7</v>
      </c>
      <c r="L1" s="65"/>
      <c r="M1" s="65"/>
      <c r="N1" s="65"/>
      <c r="O1" s="65"/>
      <c r="P1" s="65" t="s">
        <v>270</v>
      </c>
      <c r="Q1" s="65" t="s">
        <v>271</v>
      </c>
      <c r="R1" s="69" t="s">
        <v>833</v>
      </c>
    </row>
    <row r="2" spans="1:18" x14ac:dyDescent="0.25">
      <c r="A2" s="8">
        <v>44198</v>
      </c>
      <c r="B2" s="4" t="s">
        <v>1028</v>
      </c>
      <c r="C2" s="8">
        <v>44226</v>
      </c>
      <c r="D2" s="4"/>
      <c r="E2" s="4" t="s">
        <v>1029</v>
      </c>
      <c r="F2" s="4">
        <v>3780</v>
      </c>
      <c r="G2" s="4"/>
      <c r="H2" s="4" t="s">
        <v>1119</v>
      </c>
      <c r="I2" s="4"/>
      <c r="J2" s="4"/>
      <c r="K2" s="4"/>
      <c r="L2" s="4"/>
      <c r="M2" s="4"/>
      <c r="N2" s="4"/>
      <c r="O2" s="4"/>
      <c r="P2" s="4">
        <v>9450</v>
      </c>
      <c r="Q2" s="4">
        <v>8112404900</v>
      </c>
      <c r="R2" s="1"/>
    </row>
    <row r="3" spans="1:18" ht="60" x14ac:dyDescent="0.25">
      <c r="A3" s="5">
        <v>44198</v>
      </c>
      <c r="B3" s="4" t="s">
        <v>1137</v>
      </c>
      <c r="C3" s="8">
        <v>44418</v>
      </c>
      <c r="D3" s="4"/>
      <c r="E3" s="40" t="s">
        <v>1494</v>
      </c>
      <c r="F3" s="4">
        <v>2000</v>
      </c>
      <c r="G3" s="4"/>
      <c r="H3" s="4" t="s">
        <v>1138</v>
      </c>
      <c r="I3" s="4"/>
      <c r="J3" s="4"/>
      <c r="K3" s="4" t="s">
        <v>1228</v>
      </c>
      <c r="L3" s="4">
        <v>5487</v>
      </c>
      <c r="M3" s="4" t="s">
        <v>1495</v>
      </c>
      <c r="N3" s="4"/>
      <c r="O3" s="4"/>
      <c r="P3" s="4">
        <v>14500</v>
      </c>
      <c r="Q3" s="4">
        <v>8110687221</v>
      </c>
      <c r="R3" s="4"/>
    </row>
    <row r="4" spans="1:18" x14ac:dyDescent="0.25">
      <c r="A4" s="8">
        <v>44201</v>
      </c>
      <c r="B4" s="4" t="s">
        <v>1043</v>
      </c>
      <c r="C4" s="8">
        <v>44269</v>
      </c>
      <c r="D4" s="4"/>
      <c r="E4" s="4" t="s">
        <v>1039</v>
      </c>
      <c r="F4" s="4">
        <v>2600</v>
      </c>
      <c r="G4" s="4"/>
      <c r="H4" s="4" t="s">
        <v>1147</v>
      </c>
      <c r="I4" s="4"/>
      <c r="J4" s="4"/>
      <c r="K4" s="4">
        <v>2300</v>
      </c>
      <c r="L4" s="4"/>
      <c r="M4" s="4"/>
      <c r="N4" s="4"/>
      <c r="O4" s="4"/>
      <c r="P4" s="4">
        <v>7000</v>
      </c>
      <c r="Q4" s="4">
        <v>8119150589</v>
      </c>
      <c r="R4" s="4"/>
    </row>
    <row r="5" spans="1:18" x14ac:dyDescent="0.25">
      <c r="A5" s="8">
        <v>44205</v>
      </c>
      <c r="B5" s="4" t="s">
        <v>1044</v>
      </c>
      <c r="C5" s="4"/>
      <c r="D5" s="4"/>
      <c r="E5" s="4" t="s">
        <v>1045</v>
      </c>
      <c r="F5" s="4">
        <v>5000</v>
      </c>
      <c r="G5" s="4"/>
      <c r="H5" s="4" t="s">
        <v>1114</v>
      </c>
      <c r="I5" s="4"/>
      <c r="J5" s="4"/>
      <c r="K5" s="4">
        <v>3700</v>
      </c>
      <c r="L5" s="4"/>
      <c r="M5" s="4"/>
      <c r="N5" s="4"/>
      <c r="O5" s="4"/>
      <c r="P5" s="4">
        <v>11700</v>
      </c>
      <c r="Q5" s="4">
        <v>8123309596</v>
      </c>
      <c r="R5" s="4"/>
    </row>
    <row r="6" spans="1:18" x14ac:dyDescent="0.25">
      <c r="A6" s="8">
        <v>44205</v>
      </c>
      <c r="B6" s="4" t="s">
        <v>1046</v>
      </c>
      <c r="C6" s="4"/>
      <c r="D6" s="4"/>
      <c r="E6" s="4" t="s">
        <v>1047</v>
      </c>
      <c r="F6" s="4">
        <v>2880</v>
      </c>
      <c r="G6" s="4"/>
      <c r="H6" s="4" t="s">
        <v>1179</v>
      </c>
      <c r="I6" s="4"/>
      <c r="J6" s="4"/>
      <c r="K6" s="4" t="s">
        <v>1257</v>
      </c>
      <c r="L6" s="4" t="s">
        <v>1329</v>
      </c>
      <c r="M6" s="4" t="s">
        <v>1363</v>
      </c>
      <c r="N6" s="4"/>
      <c r="O6" s="4"/>
      <c r="P6" s="4">
        <v>14400</v>
      </c>
      <c r="Q6" s="4">
        <v>8128891975</v>
      </c>
      <c r="R6" s="4"/>
    </row>
    <row r="7" spans="1:18" x14ac:dyDescent="0.25">
      <c r="A7" s="8">
        <v>44205</v>
      </c>
      <c r="B7" s="4" t="s">
        <v>1054</v>
      </c>
      <c r="C7" s="8">
        <v>44394</v>
      </c>
      <c r="D7" s="4"/>
      <c r="E7" s="4" t="s">
        <v>1055</v>
      </c>
      <c r="F7" s="4">
        <v>2250</v>
      </c>
      <c r="G7" s="4">
        <v>680</v>
      </c>
      <c r="H7" s="4" t="s">
        <v>1160</v>
      </c>
      <c r="I7" s="4"/>
      <c r="J7" s="4"/>
      <c r="K7" s="4" t="s">
        <v>1254</v>
      </c>
      <c r="L7" s="4" t="s">
        <v>1381</v>
      </c>
      <c r="M7" s="4"/>
      <c r="N7" s="4"/>
      <c r="O7" s="4"/>
      <c r="P7" s="4">
        <v>12950</v>
      </c>
      <c r="Q7" s="4"/>
      <c r="R7" s="4"/>
    </row>
    <row r="8" spans="1:18" x14ac:dyDescent="0.25">
      <c r="A8" s="8">
        <v>44209</v>
      </c>
      <c r="B8" s="4" t="s">
        <v>1067</v>
      </c>
      <c r="C8" s="4"/>
      <c r="D8" s="4"/>
      <c r="E8" s="4" t="s">
        <v>1068</v>
      </c>
      <c r="F8" s="4">
        <v>2000</v>
      </c>
      <c r="G8" s="4"/>
      <c r="H8" s="4" t="s">
        <v>1152</v>
      </c>
      <c r="I8" s="4"/>
      <c r="J8" s="4"/>
      <c r="K8" s="4"/>
      <c r="L8" s="4"/>
      <c r="M8" s="4"/>
      <c r="N8" s="4"/>
      <c r="O8" s="4"/>
      <c r="P8" s="4">
        <v>4700</v>
      </c>
      <c r="Q8" s="4">
        <v>8128973503</v>
      </c>
      <c r="R8" s="4"/>
    </row>
    <row r="9" spans="1:18" x14ac:dyDescent="0.25">
      <c r="A9" s="8">
        <v>44209</v>
      </c>
      <c r="B9" s="4" t="s">
        <v>1069</v>
      </c>
      <c r="C9" s="4"/>
      <c r="D9" s="4"/>
      <c r="E9" s="4" t="s">
        <v>1167</v>
      </c>
      <c r="F9" s="4">
        <v>1000</v>
      </c>
      <c r="G9" s="4"/>
      <c r="H9" s="4" t="s">
        <v>1122</v>
      </c>
      <c r="I9" s="4"/>
      <c r="J9" s="4"/>
      <c r="K9" s="4" t="s">
        <v>1161</v>
      </c>
      <c r="L9" s="4">
        <v>450</v>
      </c>
      <c r="M9" s="4"/>
      <c r="N9" s="4"/>
      <c r="O9" s="4"/>
      <c r="P9" s="4">
        <v>4450</v>
      </c>
      <c r="Q9" s="4">
        <v>8121234912</v>
      </c>
      <c r="R9" s="4" t="s">
        <v>1162</v>
      </c>
    </row>
    <row r="10" spans="1:18" x14ac:dyDescent="0.25">
      <c r="A10" s="8">
        <v>44210</v>
      </c>
      <c r="B10" s="4" t="s">
        <v>1072</v>
      </c>
      <c r="C10" s="4"/>
      <c r="D10" s="4"/>
      <c r="E10" s="4" t="s">
        <v>1073</v>
      </c>
      <c r="F10" s="4">
        <v>2250</v>
      </c>
      <c r="G10" s="4"/>
      <c r="H10" s="4" t="s">
        <v>1201</v>
      </c>
      <c r="I10" s="4"/>
      <c r="J10" s="4"/>
      <c r="K10" s="4"/>
      <c r="L10" s="4"/>
      <c r="M10" s="4"/>
      <c r="N10" s="4"/>
      <c r="O10" s="4"/>
      <c r="P10" s="4">
        <v>11250</v>
      </c>
      <c r="Q10" s="4">
        <v>8114792033</v>
      </c>
      <c r="R10" s="4"/>
    </row>
    <row r="11" spans="1:18" ht="75" x14ac:dyDescent="0.25">
      <c r="A11" s="8">
        <v>44211</v>
      </c>
      <c r="B11" s="4" t="s">
        <v>1076</v>
      </c>
      <c r="C11" s="4"/>
      <c r="D11" s="4"/>
      <c r="E11" s="40" t="s">
        <v>1077</v>
      </c>
      <c r="F11" s="4" t="s">
        <v>1207</v>
      </c>
      <c r="G11" s="4"/>
      <c r="H11" s="4" t="s">
        <v>1160</v>
      </c>
      <c r="I11" s="4"/>
      <c r="J11" s="4"/>
      <c r="K11" s="4" t="s">
        <v>1233</v>
      </c>
      <c r="L11" s="4"/>
      <c r="M11" s="4"/>
      <c r="N11" s="4"/>
      <c r="O11" s="4"/>
      <c r="P11" s="4">
        <v>18900</v>
      </c>
      <c r="Q11" s="4"/>
      <c r="R11" s="4"/>
    </row>
    <row r="12" spans="1:18" ht="75" x14ac:dyDescent="0.25">
      <c r="A12" s="8">
        <v>44212</v>
      </c>
      <c r="B12" s="4" t="s">
        <v>1079</v>
      </c>
      <c r="C12" s="8">
        <v>44397</v>
      </c>
      <c r="D12" s="4"/>
      <c r="E12" s="40" t="s">
        <v>1365</v>
      </c>
      <c r="F12" s="4">
        <v>4000</v>
      </c>
      <c r="G12" s="4"/>
      <c r="H12" s="4" t="s">
        <v>1189</v>
      </c>
      <c r="I12" s="4"/>
      <c r="J12" s="4"/>
      <c r="K12" s="4" t="s">
        <v>1364</v>
      </c>
      <c r="L12" s="4"/>
      <c r="M12" s="4"/>
      <c r="N12" s="4"/>
      <c r="O12" s="4"/>
      <c r="P12" s="4">
        <v>10750</v>
      </c>
      <c r="Q12" s="4">
        <v>8129148135</v>
      </c>
      <c r="R12" s="4"/>
    </row>
    <row r="13" spans="1:18" ht="75" x14ac:dyDescent="0.25">
      <c r="A13" s="8">
        <v>44212</v>
      </c>
      <c r="B13" s="4" t="s">
        <v>1083</v>
      </c>
      <c r="C13" s="4"/>
      <c r="D13" s="4"/>
      <c r="E13" s="4" t="s">
        <v>1082</v>
      </c>
      <c r="F13" s="4">
        <v>2880</v>
      </c>
      <c r="G13" s="4"/>
      <c r="H13" s="4" t="s">
        <v>1252</v>
      </c>
      <c r="I13" s="4" t="s">
        <v>1731</v>
      </c>
      <c r="J13" s="4" t="s">
        <v>1760</v>
      </c>
      <c r="K13" s="4" t="s">
        <v>1405</v>
      </c>
      <c r="L13" s="4" t="s">
        <v>1534</v>
      </c>
      <c r="M13" s="4"/>
      <c r="N13" s="4"/>
      <c r="O13" s="4"/>
      <c r="P13" s="4">
        <v>17900</v>
      </c>
      <c r="Q13" s="4">
        <v>8118151329</v>
      </c>
      <c r="R13" s="40" t="s">
        <v>1730</v>
      </c>
    </row>
    <row r="14" spans="1:18" x14ac:dyDescent="0.25">
      <c r="A14" s="8">
        <v>44214</v>
      </c>
      <c r="B14" s="4" t="s">
        <v>1089</v>
      </c>
      <c r="C14" s="4"/>
      <c r="D14" s="4"/>
      <c r="E14" s="4" t="s">
        <v>1090</v>
      </c>
      <c r="F14" s="4">
        <v>3060</v>
      </c>
      <c r="G14" s="4"/>
      <c r="H14" s="4" t="s">
        <v>1882</v>
      </c>
      <c r="I14" s="4"/>
      <c r="J14" s="4"/>
      <c r="K14" s="4" t="s">
        <v>1281</v>
      </c>
      <c r="L14" s="4" t="s">
        <v>1372</v>
      </c>
      <c r="M14" s="4">
        <v>3280</v>
      </c>
      <c r="N14" s="4"/>
      <c r="O14" s="4"/>
      <c r="P14" s="4">
        <v>15300</v>
      </c>
      <c r="Q14" s="4">
        <v>8121963780</v>
      </c>
      <c r="R14" s="4"/>
    </row>
    <row r="15" spans="1:18" x14ac:dyDescent="0.25">
      <c r="A15" s="8">
        <v>44216</v>
      </c>
      <c r="B15" s="4" t="s">
        <v>1092</v>
      </c>
      <c r="C15" s="4"/>
      <c r="D15" s="4"/>
      <c r="E15" s="4" t="s">
        <v>1769</v>
      </c>
      <c r="F15" s="4">
        <v>5000</v>
      </c>
      <c r="G15" s="4"/>
      <c r="H15" s="4" t="s">
        <v>1182</v>
      </c>
      <c r="I15" s="4" t="s">
        <v>1768</v>
      </c>
      <c r="J15" s="4" t="s">
        <v>1771</v>
      </c>
      <c r="K15" s="4" t="s">
        <v>1796</v>
      </c>
      <c r="L15" s="4" t="s">
        <v>2052</v>
      </c>
      <c r="M15" s="4"/>
      <c r="N15" s="4"/>
      <c r="O15" s="4"/>
      <c r="P15" s="4">
        <v>22200</v>
      </c>
      <c r="Q15" s="4">
        <v>8117825130</v>
      </c>
      <c r="R15" s="4" t="s">
        <v>1770</v>
      </c>
    </row>
    <row r="16" spans="1:18" x14ac:dyDescent="0.25">
      <c r="A16" s="8">
        <v>44218</v>
      </c>
      <c r="B16" s="4" t="s">
        <v>1099</v>
      </c>
      <c r="C16" s="8">
        <v>44470</v>
      </c>
      <c r="D16" s="4"/>
      <c r="E16" s="4" t="s">
        <v>1877</v>
      </c>
      <c r="F16" s="4">
        <v>1710</v>
      </c>
      <c r="G16" s="4"/>
      <c r="H16" s="4" t="s">
        <v>1197</v>
      </c>
      <c r="I16" s="4" t="s">
        <v>1883</v>
      </c>
      <c r="J16" s="4"/>
      <c r="K16" s="4" t="s">
        <v>1299</v>
      </c>
      <c r="L16" s="4" t="s">
        <v>1408</v>
      </c>
      <c r="M16" s="4">
        <v>1710</v>
      </c>
      <c r="N16" s="4" t="s">
        <v>1878</v>
      </c>
      <c r="O16" s="4"/>
      <c r="P16" s="4">
        <v>9050</v>
      </c>
      <c r="Q16" s="4">
        <v>8115821855</v>
      </c>
      <c r="R16" s="40"/>
    </row>
    <row r="17" spans="1:18" ht="90" x14ac:dyDescent="0.25">
      <c r="A17" s="8">
        <v>44219</v>
      </c>
      <c r="B17" s="4" t="s">
        <v>1101</v>
      </c>
      <c r="C17" s="4"/>
      <c r="D17" s="4"/>
      <c r="E17" s="40" t="s">
        <v>1650</v>
      </c>
      <c r="F17" s="4">
        <v>2020</v>
      </c>
      <c r="G17" s="4"/>
      <c r="H17" s="4" t="s">
        <v>1222</v>
      </c>
      <c r="I17" s="4"/>
      <c r="J17" s="4"/>
      <c r="K17" s="4" t="s">
        <v>1655</v>
      </c>
      <c r="L17" s="4" t="s">
        <v>1651</v>
      </c>
      <c r="M17" s="4"/>
      <c r="N17" s="4"/>
      <c r="O17" s="4"/>
      <c r="P17" s="4">
        <v>10600</v>
      </c>
      <c r="Q17" s="4">
        <v>8121985106</v>
      </c>
      <c r="R17" s="4" t="s">
        <v>1430</v>
      </c>
    </row>
    <row r="18" spans="1:18" x14ac:dyDescent="0.25">
      <c r="A18" s="8">
        <v>44219</v>
      </c>
      <c r="B18" s="4" t="s">
        <v>1104</v>
      </c>
      <c r="C18" s="8">
        <v>44409</v>
      </c>
      <c r="D18" s="4"/>
      <c r="E18" s="4" t="s">
        <v>1103</v>
      </c>
      <c r="F18" s="4">
        <v>3600</v>
      </c>
      <c r="G18" s="5" t="s">
        <v>1653</v>
      </c>
      <c r="H18" s="4">
        <v>10800</v>
      </c>
      <c r="I18" s="4"/>
      <c r="J18" s="4"/>
      <c r="K18" s="4"/>
      <c r="L18" s="4"/>
      <c r="M18" s="4"/>
      <c r="N18" s="4"/>
      <c r="O18" s="4"/>
      <c r="P18" s="4">
        <v>18000</v>
      </c>
      <c r="Q18" s="4">
        <v>8113473478</v>
      </c>
      <c r="R18" s="4"/>
    </row>
    <row r="19" spans="1:18" x14ac:dyDescent="0.25">
      <c r="A19" s="7">
        <v>44219</v>
      </c>
      <c r="B19" s="1" t="s">
        <v>1105</v>
      </c>
      <c r="C19" s="7">
        <v>44345</v>
      </c>
      <c r="D19" s="1"/>
      <c r="E19" s="1" t="s">
        <v>1106</v>
      </c>
      <c r="F19" s="1">
        <v>1500</v>
      </c>
      <c r="G19" s="1"/>
      <c r="H19" s="1"/>
      <c r="I19" s="1"/>
      <c r="J19" s="1"/>
      <c r="K19" s="1"/>
      <c r="L19" s="1"/>
      <c r="M19" s="1"/>
      <c r="N19" s="1"/>
      <c r="O19" s="1"/>
      <c r="P19" s="1">
        <v>3000</v>
      </c>
      <c r="Q19" s="1">
        <v>8127336818</v>
      </c>
      <c r="R19" s="51"/>
    </row>
    <row r="20" spans="1:18" x14ac:dyDescent="0.25">
      <c r="A20" s="8">
        <v>44219</v>
      </c>
      <c r="B20" s="4" t="s">
        <v>1109</v>
      </c>
      <c r="C20" s="8">
        <v>44526</v>
      </c>
      <c r="D20" s="4"/>
      <c r="E20" s="4" t="s">
        <v>723</v>
      </c>
      <c r="F20" s="4">
        <v>2400</v>
      </c>
      <c r="G20" s="4"/>
      <c r="H20" s="4" t="s">
        <v>1178</v>
      </c>
      <c r="I20" s="4"/>
      <c r="J20" s="4"/>
      <c r="K20" s="4" t="s">
        <v>1446</v>
      </c>
      <c r="L20" s="4" t="s">
        <v>1551</v>
      </c>
      <c r="M20" s="4" t="s">
        <v>1670</v>
      </c>
      <c r="N20" s="4"/>
      <c r="O20" s="4"/>
      <c r="P20" s="4">
        <v>13500</v>
      </c>
      <c r="Q20" s="4">
        <v>8113213854</v>
      </c>
      <c r="R20" s="4"/>
    </row>
    <row r="21" spans="1:18" x14ac:dyDescent="0.25">
      <c r="A21" s="4" t="s">
        <v>1110</v>
      </c>
      <c r="B21" s="4" t="s">
        <v>1111</v>
      </c>
      <c r="C21" s="4" t="s">
        <v>1112</v>
      </c>
      <c r="D21" s="4"/>
      <c r="E21" s="4" t="s">
        <v>1283</v>
      </c>
      <c r="F21" s="4">
        <v>9000</v>
      </c>
      <c r="G21" s="4"/>
      <c r="H21" s="4" t="s">
        <v>1180</v>
      </c>
      <c r="I21" s="4"/>
      <c r="J21" s="4"/>
      <c r="K21" s="5" t="s">
        <v>1284</v>
      </c>
      <c r="L21" s="4"/>
      <c r="M21" s="4"/>
      <c r="N21" s="4"/>
      <c r="O21" s="4"/>
      <c r="P21" s="4">
        <v>17100</v>
      </c>
      <c r="Q21" s="4">
        <v>8125361929</v>
      </c>
      <c r="R21" s="4"/>
    </row>
    <row r="22" spans="1:18" x14ac:dyDescent="0.25">
      <c r="A22" s="8">
        <v>44223</v>
      </c>
      <c r="B22" s="4" t="s">
        <v>1117</v>
      </c>
      <c r="C22" s="4"/>
      <c r="D22" s="4"/>
      <c r="E22" s="4" t="s">
        <v>1118</v>
      </c>
      <c r="F22" s="4">
        <v>2250</v>
      </c>
      <c r="G22" s="4"/>
      <c r="H22" s="4" t="s">
        <v>1206</v>
      </c>
      <c r="I22" s="4"/>
      <c r="J22" s="4"/>
      <c r="K22" s="4" t="s">
        <v>1415</v>
      </c>
      <c r="L22" s="4"/>
      <c r="M22" s="4"/>
      <c r="N22" s="4"/>
      <c r="O22" s="4"/>
      <c r="P22" s="4">
        <v>11250</v>
      </c>
      <c r="Q22" s="4">
        <v>8114981421</v>
      </c>
      <c r="R22" s="4"/>
    </row>
    <row r="23" spans="1:18" x14ac:dyDescent="0.25">
      <c r="A23" s="8">
        <v>44225</v>
      </c>
      <c r="B23" s="4" t="s">
        <v>1120</v>
      </c>
      <c r="C23" s="4"/>
      <c r="D23" s="4"/>
      <c r="E23" s="4" t="s">
        <v>1223</v>
      </c>
      <c r="F23" s="4">
        <v>5000</v>
      </c>
      <c r="G23" s="4"/>
      <c r="H23" s="4" t="s">
        <v>1224</v>
      </c>
      <c r="I23" s="4"/>
      <c r="J23" s="4"/>
      <c r="K23" s="4" t="s">
        <v>1340</v>
      </c>
      <c r="L23" s="4" t="s">
        <v>1507</v>
      </c>
      <c r="M23" s="4" t="s">
        <v>1550</v>
      </c>
      <c r="N23" s="4" t="s">
        <v>1697</v>
      </c>
      <c r="O23" s="4"/>
      <c r="P23" s="4">
        <v>18050</v>
      </c>
      <c r="Q23" s="4"/>
      <c r="R23" s="4"/>
    </row>
    <row r="24" spans="1:18" ht="90" x14ac:dyDescent="0.25">
      <c r="A24" s="36" t="s">
        <v>1124</v>
      </c>
      <c r="B24" s="4" t="s">
        <v>1123</v>
      </c>
      <c r="C24" s="4"/>
      <c r="D24" s="4"/>
      <c r="E24" s="40" t="s">
        <v>1400</v>
      </c>
      <c r="F24" s="4">
        <v>4000</v>
      </c>
      <c r="G24" s="4"/>
      <c r="H24" s="4" t="s">
        <v>1219</v>
      </c>
      <c r="I24" s="4"/>
      <c r="J24" s="4"/>
      <c r="K24" s="4" t="s">
        <v>1286</v>
      </c>
      <c r="L24" s="4" t="s">
        <v>1401</v>
      </c>
      <c r="M24" s="4">
        <v>350</v>
      </c>
      <c r="N24" s="4"/>
      <c r="O24" s="4"/>
      <c r="P24" s="4">
        <v>12000</v>
      </c>
      <c r="Q24" s="4"/>
      <c r="R24" s="4"/>
    </row>
    <row r="25" spans="1:18" x14ac:dyDescent="0.25">
      <c r="A25" s="8">
        <v>44226</v>
      </c>
      <c r="B25" s="4" t="s">
        <v>1126</v>
      </c>
      <c r="C25" s="4"/>
      <c r="D25" s="4"/>
      <c r="E25" s="4" t="s">
        <v>1127</v>
      </c>
      <c r="F25" s="4">
        <v>7120</v>
      </c>
      <c r="G25" s="4"/>
      <c r="H25" s="4" t="s">
        <v>1225</v>
      </c>
      <c r="I25" s="4"/>
      <c r="J25" s="4"/>
      <c r="K25" s="4" t="s">
        <v>1328</v>
      </c>
      <c r="L25" s="4"/>
      <c r="M25" s="4"/>
      <c r="N25" s="4"/>
      <c r="O25" s="4"/>
      <c r="P25" s="4">
        <v>17800</v>
      </c>
      <c r="Q25" s="4">
        <v>8672650508</v>
      </c>
      <c r="R25" s="4"/>
    </row>
    <row r="26" spans="1:18" x14ac:dyDescent="0.25">
      <c r="A26" s="10" t="s">
        <v>1124</v>
      </c>
      <c r="B26" s="10" t="s">
        <v>1131</v>
      </c>
      <c r="C26" s="10"/>
      <c r="D26" s="10"/>
      <c r="E26" s="10" t="s">
        <v>1130</v>
      </c>
      <c r="F26" s="10">
        <v>1710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8550</v>
      </c>
      <c r="Q26" s="10">
        <v>8182005168</v>
      </c>
      <c r="R26" s="10"/>
    </row>
    <row r="27" spans="1:18" x14ac:dyDescent="0.25">
      <c r="A27" s="8">
        <v>44226</v>
      </c>
      <c r="B27" s="4" t="s">
        <v>1132</v>
      </c>
      <c r="C27" s="4"/>
      <c r="D27" s="4"/>
      <c r="E27" s="4" t="s">
        <v>1417</v>
      </c>
      <c r="F27" s="4">
        <v>5000</v>
      </c>
      <c r="G27" s="4"/>
      <c r="H27" s="4" t="s">
        <v>1243</v>
      </c>
      <c r="I27" s="4"/>
      <c r="J27" s="4"/>
      <c r="K27" s="4" t="s">
        <v>1277</v>
      </c>
      <c r="L27" s="4" t="s">
        <v>1426</v>
      </c>
      <c r="M27" s="4" t="s">
        <v>1492</v>
      </c>
      <c r="N27" s="4"/>
      <c r="O27" s="4"/>
      <c r="P27" s="4">
        <v>12400</v>
      </c>
      <c r="Q27" s="4">
        <v>8120760089</v>
      </c>
      <c r="R27" s="4"/>
    </row>
    <row r="28" spans="1:18" x14ac:dyDescent="0.25">
      <c r="A28" s="8">
        <v>44226</v>
      </c>
      <c r="B28" s="4" t="s">
        <v>1322</v>
      </c>
      <c r="C28" s="4"/>
      <c r="D28" s="4"/>
      <c r="E28" s="4" t="s">
        <v>1133</v>
      </c>
      <c r="F28" s="4">
        <v>2840</v>
      </c>
      <c r="G28" s="4"/>
      <c r="H28" s="4" t="s">
        <v>1221</v>
      </c>
      <c r="I28" s="4" t="s">
        <v>1943</v>
      </c>
      <c r="J28" s="4"/>
      <c r="K28" s="4" t="s">
        <v>1323</v>
      </c>
      <c r="L28" s="4"/>
      <c r="M28" s="4"/>
      <c r="N28" s="4"/>
      <c r="O28" s="4"/>
      <c r="P28" s="4">
        <v>14200</v>
      </c>
      <c r="Q28" s="4"/>
      <c r="R28" s="4"/>
    </row>
    <row r="29" spans="1:18" x14ac:dyDescent="0.25">
      <c r="A29" s="8">
        <v>44226</v>
      </c>
      <c r="B29" s="4" t="s">
        <v>1134</v>
      </c>
      <c r="C29" s="8">
        <v>44540</v>
      </c>
      <c r="D29" s="4"/>
      <c r="E29" s="4" t="s">
        <v>1868</v>
      </c>
      <c r="F29" s="4">
        <v>1980</v>
      </c>
      <c r="G29" s="4"/>
      <c r="H29" s="4" t="s">
        <v>1236</v>
      </c>
      <c r="I29" s="4" t="s">
        <v>1341</v>
      </c>
      <c r="J29" s="4" t="s">
        <v>1451</v>
      </c>
      <c r="K29" s="4" t="s">
        <v>1533</v>
      </c>
      <c r="L29" s="4" t="s">
        <v>1867</v>
      </c>
      <c r="M29" s="4" t="s">
        <v>2205</v>
      </c>
      <c r="N29" s="4"/>
      <c r="O29" s="4"/>
      <c r="P29" s="4">
        <v>11350</v>
      </c>
      <c r="Q29" s="4"/>
      <c r="R29" s="40"/>
    </row>
    <row r="37" spans="6:6" x14ac:dyDescent="0.25">
      <c r="F37" s="8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19"/>
  <sheetViews>
    <sheetView topLeftCell="A6" workbookViewId="0"/>
  </sheetViews>
  <sheetFormatPr baseColWidth="10" defaultRowHeight="15" x14ac:dyDescent="0.25"/>
  <sheetData>
    <row r="1" spans="1:17" x14ac:dyDescent="0.25">
      <c r="A1" s="70" t="s">
        <v>1209</v>
      </c>
      <c r="B1" s="70" t="s">
        <v>1210</v>
      </c>
      <c r="C1" s="70" t="s">
        <v>1211</v>
      </c>
      <c r="D1" s="70" t="s">
        <v>1212</v>
      </c>
      <c r="E1" s="70" t="s">
        <v>1213</v>
      </c>
      <c r="F1" s="70"/>
      <c r="G1" s="70" t="s">
        <v>1214</v>
      </c>
      <c r="H1" s="70" t="s">
        <v>1215</v>
      </c>
      <c r="I1" s="70"/>
      <c r="J1" s="70"/>
      <c r="K1" s="70"/>
      <c r="L1" s="70"/>
      <c r="M1" s="70"/>
      <c r="N1" s="70"/>
      <c r="O1" s="70" t="s">
        <v>1216</v>
      </c>
      <c r="P1" s="70" t="s">
        <v>1217</v>
      </c>
      <c r="Q1" s="70"/>
    </row>
    <row r="2" spans="1:17" x14ac:dyDescent="0.25">
      <c r="A2" s="72">
        <v>44229</v>
      </c>
      <c r="B2" s="73" t="s">
        <v>1139</v>
      </c>
      <c r="C2" s="72">
        <v>44519</v>
      </c>
      <c r="D2" s="73" t="s">
        <v>1144</v>
      </c>
      <c r="E2" s="73" t="s">
        <v>1308</v>
      </c>
      <c r="F2" s="73" t="s">
        <v>1903</v>
      </c>
      <c r="G2" s="73" t="s">
        <v>1309</v>
      </c>
      <c r="H2" s="73" t="s">
        <v>1327</v>
      </c>
      <c r="I2" s="73" t="s">
        <v>1441</v>
      </c>
      <c r="J2" s="73" t="s">
        <v>1556</v>
      </c>
      <c r="K2" s="73" t="s">
        <v>1904</v>
      </c>
      <c r="L2" s="73"/>
      <c r="M2" s="73"/>
      <c r="N2" s="73"/>
      <c r="O2" s="76">
        <v>11250</v>
      </c>
      <c r="P2" s="73"/>
      <c r="Q2" s="73"/>
    </row>
    <row r="3" spans="1:17" x14ac:dyDescent="0.25">
      <c r="A3" s="72">
        <v>44231</v>
      </c>
      <c r="B3" s="73" t="s">
        <v>1142</v>
      </c>
      <c r="C3" s="72">
        <v>44491</v>
      </c>
      <c r="D3" s="72" t="s">
        <v>581</v>
      </c>
      <c r="E3" s="74">
        <v>3600</v>
      </c>
      <c r="F3" s="74"/>
      <c r="G3" s="73" t="s">
        <v>1310</v>
      </c>
      <c r="H3" s="73" t="s">
        <v>1278</v>
      </c>
      <c r="I3" s="73"/>
      <c r="J3" s="73"/>
      <c r="K3" s="73"/>
      <c r="L3" s="73"/>
      <c r="M3" s="73"/>
      <c r="N3" s="73"/>
      <c r="O3" s="76">
        <v>14400</v>
      </c>
      <c r="P3" s="73">
        <v>8112864396</v>
      </c>
      <c r="Q3" s="73" t="s">
        <v>1279</v>
      </c>
    </row>
    <row r="4" spans="1:17" x14ac:dyDescent="0.25">
      <c r="A4" s="72">
        <v>44233</v>
      </c>
      <c r="B4" s="73" t="s">
        <v>1359</v>
      </c>
      <c r="C4" s="73"/>
      <c r="D4" s="73" t="s">
        <v>1148</v>
      </c>
      <c r="E4" s="74">
        <v>3000</v>
      </c>
      <c r="F4" s="74"/>
      <c r="G4" s="73" t="s">
        <v>1311</v>
      </c>
      <c r="H4" s="73" t="s">
        <v>1360</v>
      </c>
      <c r="I4" s="73" t="s">
        <v>1478</v>
      </c>
      <c r="J4" s="73" t="s">
        <v>1575</v>
      </c>
      <c r="K4" s="73"/>
      <c r="L4" s="73"/>
      <c r="M4" s="73"/>
      <c r="N4" s="73"/>
      <c r="O4" s="76">
        <v>14450</v>
      </c>
      <c r="P4" s="73"/>
      <c r="Q4" s="73"/>
    </row>
    <row r="5" spans="1:17" x14ac:dyDescent="0.25">
      <c r="A5" s="72">
        <v>44233</v>
      </c>
      <c r="B5" s="73" t="s">
        <v>1149</v>
      </c>
      <c r="C5" s="73"/>
      <c r="D5" s="73" t="s">
        <v>1659</v>
      </c>
      <c r="E5" s="74">
        <v>3400</v>
      </c>
      <c r="F5" s="74"/>
      <c r="G5" s="73" t="s">
        <v>1312</v>
      </c>
      <c r="H5" s="73" t="s">
        <v>1368</v>
      </c>
      <c r="I5" s="73" t="s">
        <v>1475</v>
      </c>
      <c r="J5" s="73" t="s">
        <v>1660</v>
      </c>
      <c r="K5" s="73" t="s">
        <v>1892</v>
      </c>
      <c r="L5" s="73"/>
      <c r="M5" s="73"/>
      <c r="N5" s="73"/>
      <c r="O5" s="76">
        <v>20800</v>
      </c>
      <c r="P5" s="73"/>
      <c r="Q5" s="73"/>
    </row>
    <row r="6" spans="1:17" x14ac:dyDescent="0.25">
      <c r="A6" s="72">
        <v>44233</v>
      </c>
      <c r="B6" s="73" t="s">
        <v>1226</v>
      </c>
      <c r="C6" s="73"/>
      <c r="D6" s="73" t="s">
        <v>1151</v>
      </c>
      <c r="E6" s="74">
        <v>3000</v>
      </c>
      <c r="F6" s="74"/>
      <c r="G6" s="73" t="s">
        <v>1313</v>
      </c>
      <c r="H6" s="73" t="s">
        <v>1339</v>
      </c>
      <c r="I6" s="73" t="s">
        <v>1465</v>
      </c>
      <c r="J6" s="73" t="s">
        <v>1576</v>
      </c>
      <c r="K6" s="73"/>
      <c r="L6" s="73"/>
      <c r="M6" s="73"/>
      <c r="N6" s="73"/>
      <c r="O6" s="76">
        <v>6000</v>
      </c>
      <c r="P6" s="73">
        <v>8183963433</v>
      </c>
      <c r="Q6" s="73"/>
    </row>
    <row r="7" spans="1:17" x14ac:dyDescent="0.25">
      <c r="A7" s="72">
        <v>44235</v>
      </c>
      <c r="B7" s="73" t="s">
        <v>1156</v>
      </c>
      <c r="C7" s="73"/>
      <c r="D7" s="73" t="s">
        <v>1574</v>
      </c>
      <c r="E7" s="74">
        <v>3060</v>
      </c>
      <c r="F7" s="74"/>
      <c r="G7" s="73" t="s">
        <v>1314</v>
      </c>
      <c r="H7" s="73" t="s">
        <v>1416</v>
      </c>
      <c r="I7" s="73" t="s">
        <v>1481</v>
      </c>
      <c r="J7" s="73" t="s">
        <v>1514</v>
      </c>
      <c r="K7" s="73" t="s">
        <v>1573</v>
      </c>
      <c r="L7" s="73" t="s">
        <v>1652</v>
      </c>
      <c r="M7" s="73"/>
      <c r="N7" s="73"/>
      <c r="O7" s="76">
        <v>18200</v>
      </c>
      <c r="P7" s="73">
        <v>9999680607</v>
      </c>
      <c r="Q7" s="73"/>
    </row>
    <row r="8" spans="1:17" x14ac:dyDescent="0.25">
      <c r="A8" s="72">
        <v>44236</v>
      </c>
      <c r="B8" s="73" t="s">
        <v>1419</v>
      </c>
      <c r="C8" s="73"/>
      <c r="D8" s="73" t="s">
        <v>1321</v>
      </c>
      <c r="E8" s="74">
        <v>2350</v>
      </c>
      <c r="F8" s="74"/>
      <c r="G8" s="73" t="s">
        <v>1315</v>
      </c>
      <c r="H8" s="73" t="s">
        <v>1369</v>
      </c>
      <c r="I8" s="73" t="s">
        <v>1486</v>
      </c>
      <c r="J8" s="73"/>
      <c r="K8" s="73"/>
      <c r="L8" s="73"/>
      <c r="M8" s="73"/>
      <c r="N8" s="73"/>
      <c r="O8" s="76">
        <v>16700</v>
      </c>
      <c r="P8" s="73"/>
      <c r="Q8" s="73"/>
    </row>
    <row r="9" spans="1:17" x14ac:dyDescent="0.25">
      <c r="A9" s="72">
        <v>44238</v>
      </c>
      <c r="B9" s="73" t="s">
        <v>1168</v>
      </c>
      <c r="C9" s="73"/>
      <c r="D9" s="73" t="s">
        <v>1169</v>
      </c>
      <c r="E9" s="74">
        <v>3220</v>
      </c>
      <c r="F9" s="74"/>
      <c r="G9" s="73" t="s">
        <v>1316</v>
      </c>
      <c r="H9" s="73" t="s">
        <v>1482</v>
      </c>
      <c r="I9" s="73" t="s">
        <v>1577</v>
      </c>
      <c r="J9" s="73"/>
      <c r="K9" s="73"/>
      <c r="L9" s="73"/>
      <c r="M9" s="73"/>
      <c r="N9" s="73"/>
      <c r="O9" s="76">
        <v>15700</v>
      </c>
      <c r="P9" s="73"/>
      <c r="Q9" s="73"/>
    </row>
    <row r="10" spans="1:17" ht="60" x14ac:dyDescent="0.25">
      <c r="A10" s="72">
        <v>44240</v>
      </c>
      <c r="B10" s="73" t="s">
        <v>1173</v>
      </c>
      <c r="C10" s="73"/>
      <c r="D10" s="82" t="s">
        <v>1174</v>
      </c>
      <c r="E10" s="74">
        <v>5000</v>
      </c>
      <c r="F10" s="74"/>
      <c r="G10" s="73" t="s">
        <v>1317</v>
      </c>
      <c r="H10" s="73" t="s">
        <v>1391</v>
      </c>
      <c r="I10" s="73" t="s">
        <v>1488</v>
      </c>
      <c r="J10" s="73"/>
      <c r="K10" s="73"/>
      <c r="L10" s="73"/>
      <c r="M10" s="73"/>
      <c r="N10" s="73"/>
      <c r="O10" s="76">
        <v>9350</v>
      </c>
      <c r="P10" s="73" t="s">
        <v>1504</v>
      </c>
      <c r="Q10" s="73"/>
    </row>
    <row r="11" spans="1:17" x14ac:dyDescent="0.25">
      <c r="A11" s="86">
        <v>44247</v>
      </c>
      <c r="B11" s="73" t="s">
        <v>1191</v>
      </c>
      <c r="C11" s="72">
        <v>44428</v>
      </c>
      <c r="D11" s="73" t="s">
        <v>1779</v>
      </c>
      <c r="E11" s="74">
        <v>3000</v>
      </c>
      <c r="F11" s="74"/>
      <c r="G11" s="73" t="s">
        <v>1295</v>
      </c>
      <c r="H11" s="73" t="s">
        <v>1411</v>
      </c>
      <c r="I11" s="73" t="s">
        <v>1535</v>
      </c>
      <c r="J11" s="73">
        <v>320</v>
      </c>
      <c r="K11" s="73" t="s">
        <v>1777</v>
      </c>
      <c r="L11" s="73" t="s">
        <v>2526</v>
      </c>
      <c r="M11" s="73"/>
      <c r="N11" s="73"/>
      <c r="O11" s="76">
        <v>15800</v>
      </c>
      <c r="P11" s="73"/>
      <c r="Q11" s="73"/>
    </row>
    <row r="12" spans="1:17" x14ac:dyDescent="0.25">
      <c r="A12" s="72">
        <v>44247</v>
      </c>
      <c r="B12" s="73" t="s">
        <v>1785</v>
      </c>
      <c r="C12" s="73"/>
      <c r="D12" s="73" t="s">
        <v>1192</v>
      </c>
      <c r="E12" s="74">
        <v>3300</v>
      </c>
      <c r="F12" s="74"/>
      <c r="G12" s="73" t="s">
        <v>1318</v>
      </c>
      <c r="H12" s="73" t="s">
        <v>1800</v>
      </c>
      <c r="I12" s="73" t="s">
        <v>2144</v>
      </c>
      <c r="J12" s="73"/>
      <c r="K12" s="73"/>
      <c r="L12" s="73"/>
      <c r="M12" s="73"/>
      <c r="N12" s="73"/>
      <c r="O12" s="76">
        <v>16500</v>
      </c>
      <c r="P12" s="73">
        <v>8119863460</v>
      </c>
      <c r="Q12" s="73"/>
    </row>
    <row r="13" spans="1:17" x14ac:dyDescent="0.25">
      <c r="A13" s="77">
        <v>2</v>
      </c>
      <c r="B13" s="78" t="s">
        <v>1193</v>
      </c>
      <c r="C13" s="78"/>
      <c r="D13" s="78" t="s">
        <v>1906</v>
      </c>
      <c r="E13" s="79">
        <v>1400</v>
      </c>
      <c r="F13" s="79"/>
      <c r="G13" s="79">
        <v>850</v>
      </c>
      <c r="H13" s="78" t="s">
        <v>1275</v>
      </c>
      <c r="I13" s="78" t="s">
        <v>1396</v>
      </c>
      <c r="J13" s="78" t="s">
        <v>1508</v>
      </c>
      <c r="K13" s="78" t="s">
        <v>1551</v>
      </c>
      <c r="L13" s="78" t="s">
        <v>1649</v>
      </c>
      <c r="M13" s="78" t="s">
        <v>1907</v>
      </c>
      <c r="N13" s="78" t="s">
        <v>1962</v>
      </c>
      <c r="O13" s="80">
        <v>11750</v>
      </c>
      <c r="P13" s="78"/>
      <c r="Q13" s="78"/>
    </row>
    <row r="14" spans="1:17" x14ac:dyDescent="0.25">
      <c r="A14" s="77">
        <v>44247</v>
      </c>
      <c r="B14" s="78" t="s">
        <v>1195</v>
      </c>
      <c r="C14" s="81">
        <v>44440</v>
      </c>
      <c r="D14" s="78" t="s">
        <v>1194</v>
      </c>
      <c r="E14" s="79">
        <v>3250</v>
      </c>
      <c r="F14" s="79"/>
      <c r="G14" s="79" t="s">
        <v>1294</v>
      </c>
      <c r="H14" s="78" t="s">
        <v>1429</v>
      </c>
      <c r="I14" s="78"/>
      <c r="J14" s="78"/>
      <c r="K14" s="78"/>
      <c r="L14" s="78"/>
      <c r="M14" s="78"/>
      <c r="N14" s="78"/>
      <c r="O14" s="80">
        <v>6500</v>
      </c>
      <c r="P14" s="78">
        <v>8117814972</v>
      </c>
      <c r="Q14" s="78"/>
    </row>
    <row r="15" spans="1:17" x14ac:dyDescent="0.25">
      <c r="A15" s="77">
        <v>44247</v>
      </c>
      <c r="B15" s="78" t="s">
        <v>1196</v>
      </c>
      <c r="C15" s="78"/>
      <c r="D15" s="78" t="s">
        <v>1447</v>
      </c>
      <c r="E15" s="79">
        <v>6120</v>
      </c>
      <c r="F15" s="79"/>
      <c r="G15" s="78" t="s">
        <v>1285</v>
      </c>
      <c r="H15" s="78" t="s">
        <v>1398</v>
      </c>
      <c r="I15" s="78" t="s">
        <v>1448</v>
      </c>
      <c r="J15" s="78">
        <v>4310</v>
      </c>
      <c r="K15" s="78"/>
      <c r="L15" s="78"/>
      <c r="M15" s="78"/>
      <c r="N15" s="78"/>
      <c r="O15" s="80">
        <v>16300</v>
      </c>
      <c r="P15" s="78">
        <v>8120224258</v>
      </c>
      <c r="Q15" s="78"/>
    </row>
    <row r="16" spans="1:17" x14ac:dyDescent="0.25">
      <c r="A16" s="77">
        <v>44250</v>
      </c>
      <c r="B16" s="78" t="s">
        <v>1200</v>
      </c>
      <c r="C16" s="78"/>
      <c r="D16" s="78" t="s">
        <v>1378</v>
      </c>
      <c r="E16" s="79">
        <v>6800</v>
      </c>
      <c r="F16" s="79"/>
      <c r="G16" s="78">
        <v>11850</v>
      </c>
      <c r="H16" s="78"/>
      <c r="I16" s="78"/>
      <c r="J16" s="78"/>
      <c r="K16" s="78"/>
      <c r="L16" s="78"/>
      <c r="M16" s="78"/>
      <c r="N16" s="78"/>
      <c r="O16" s="80">
        <v>18550</v>
      </c>
      <c r="P16" s="78">
        <v>8211599525</v>
      </c>
      <c r="Q16" s="78"/>
    </row>
    <row r="17" spans="1:17" x14ac:dyDescent="0.25">
      <c r="A17" s="72">
        <v>44251</v>
      </c>
      <c r="B17" s="73" t="s">
        <v>1202</v>
      </c>
      <c r="C17" s="73"/>
      <c r="D17" s="73" t="s">
        <v>1293</v>
      </c>
      <c r="E17" s="74">
        <v>1620</v>
      </c>
      <c r="F17" s="74"/>
      <c r="G17" s="73" t="s">
        <v>1292</v>
      </c>
      <c r="H17" s="73"/>
      <c r="I17" s="73"/>
      <c r="J17" s="73"/>
      <c r="K17" s="73"/>
      <c r="L17" s="73"/>
      <c r="M17" s="73"/>
      <c r="N17" s="73"/>
      <c r="O17" s="76">
        <v>8100</v>
      </c>
      <c r="P17" s="73">
        <v>8116999943</v>
      </c>
      <c r="Q17" s="73"/>
    </row>
    <row r="18" spans="1:17" x14ac:dyDescent="0.25">
      <c r="A18" s="8">
        <v>44254</v>
      </c>
      <c r="B18" s="4" t="s">
        <v>1220</v>
      </c>
      <c r="C18" s="4"/>
      <c r="D18" s="4" t="s">
        <v>1444</v>
      </c>
      <c r="E18" s="24">
        <v>4000</v>
      </c>
      <c r="F18" s="24"/>
      <c r="G18" s="4" t="s">
        <v>1333</v>
      </c>
      <c r="H18" s="4" t="s">
        <v>1445</v>
      </c>
      <c r="I18" s="4" t="s">
        <v>1554</v>
      </c>
      <c r="J18" s="4"/>
      <c r="K18" s="4"/>
      <c r="L18" s="4"/>
      <c r="M18" s="4"/>
      <c r="N18" s="4"/>
      <c r="O18" s="27">
        <v>16350</v>
      </c>
      <c r="P18" s="4">
        <v>8121720224</v>
      </c>
      <c r="Q18" s="4"/>
    </row>
    <row r="19" spans="1:17" ht="105" x14ac:dyDescent="0.25">
      <c r="A19" s="8">
        <v>44254</v>
      </c>
      <c r="B19" s="4" t="s">
        <v>1594</v>
      </c>
      <c r="C19" s="4"/>
      <c r="D19" s="40" t="s">
        <v>1865</v>
      </c>
      <c r="E19" s="24">
        <v>2790</v>
      </c>
      <c r="F19" s="24"/>
      <c r="G19" s="4" t="s">
        <v>1331</v>
      </c>
      <c r="H19" s="4" t="s">
        <v>1428</v>
      </c>
      <c r="I19" s="4" t="s">
        <v>1591</v>
      </c>
      <c r="J19" s="4" t="s">
        <v>1628</v>
      </c>
      <c r="K19" s="4" t="s">
        <v>1866</v>
      </c>
      <c r="L19" s="4"/>
      <c r="M19" s="4"/>
      <c r="N19" s="4"/>
      <c r="O19" s="27">
        <v>17250</v>
      </c>
      <c r="P19" s="4">
        <v>8121980374</v>
      </c>
      <c r="Q19" s="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2"/>
  <sheetViews>
    <sheetView workbookViewId="0"/>
  </sheetViews>
  <sheetFormatPr baseColWidth="10" defaultRowHeight="15" x14ac:dyDescent="0.25"/>
  <sheetData>
    <row r="1" spans="1:18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/>
      <c r="M1" s="71"/>
      <c r="N1" s="71"/>
      <c r="O1" s="71" t="s">
        <v>1216</v>
      </c>
      <c r="P1" s="71" t="s">
        <v>1217</v>
      </c>
      <c r="Q1" s="71"/>
    </row>
    <row r="2" spans="1:18" x14ac:dyDescent="0.25">
      <c r="A2" s="8" t="s">
        <v>1343</v>
      </c>
      <c r="B2" s="4" t="s">
        <v>1335</v>
      </c>
      <c r="C2" s="4"/>
      <c r="D2" s="4" t="s">
        <v>1336</v>
      </c>
      <c r="E2" s="4">
        <v>3000</v>
      </c>
      <c r="F2" s="4" t="s">
        <v>1385</v>
      </c>
      <c r="G2" s="4"/>
      <c r="H2" s="4"/>
      <c r="I2" s="4"/>
      <c r="J2" s="4"/>
      <c r="K2" s="4"/>
      <c r="L2" s="4"/>
      <c r="M2" s="4"/>
      <c r="N2" s="4"/>
      <c r="O2" s="4">
        <v>11250</v>
      </c>
      <c r="P2" s="4">
        <v>8114716621</v>
      </c>
      <c r="Q2" s="4"/>
    </row>
    <row r="3" spans="1:18" x14ac:dyDescent="0.25">
      <c r="A3" s="8">
        <v>44289</v>
      </c>
      <c r="B3" s="4" t="s">
        <v>1344</v>
      </c>
      <c r="C3" s="4"/>
      <c r="D3" s="4" t="s">
        <v>1345</v>
      </c>
      <c r="E3" s="4">
        <v>2250</v>
      </c>
      <c r="F3" s="4" t="s">
        <v>1460</v>
      </c>
      <c r="G3" s="4" t="s">
        <v>1558</v>
      </c>
      <c r="H3" s="4" t="s">
        <v>1673</v>
      </c>
      <c r="I3" s="4" t="s">
        <v>1763</v>
      </c>
      <c r="J3" s="4"/>
      <c r="K3" s="4"/>
      <c r="L3" s="4"/>
      <c r="M3" s="4"/>
      <c r="N3" s="4"/>
      <c r="O3" s="4">
        <v>11250</v>
      </c>
      <c r="P3" s="4">
        <v>8120723257</v>
      </c>
      <c r="Q3" s="4"/>
    </row>
    <row r="4" spans="1:18" x14ac:dyDescent="0.25">
      <c r="A4" s="8">
        <v>44289</v>
      </c>
      <c r="B4" s="4" t="s">
        <v>1346</v>
      </c>
      <c r="C4" s="4"/>
      <c r="D4" s="4" t="s">
        <v>2072</v>
      </c>
      <c r="E4" s="4">
        <v>2500</v>
      </c>
      <c r="F4" s="4" t="s">
        <v>1463</v>
      </c>
      <c r="G4" s="4" t="s">
        <v>1510</v>
      </c>
      <c r="H4" s="4" t="s">
        <v>1600</v>
      </c>
      <c r="I4" s="4" t="s">
        <v>1777</v>
      </c>
      <c r="J4" s="4" t="s">
        <v>2073</v>
      </c>
      <c r="K4" s="4"/>
      <c r="L4" s="4"/>
      <c r="M4" s="4"/>
      <c r="N4" s="4"/>
      <c r="O4" s="4">
        <v>13400</v>
      </c>
      <c r="P4" s="4"/>
      <c r="Q4" s="4"/>
    </row>
    <row r="5" spans="1:18" x14ac:dyDescent="0.25">
      <c r="A5" s="8">
        <v>44289</v>
      </c>
      <c r="B5" s="4" t="s">
        <v>1347</v>
      </c>
      <c r="C5" s="4"/>
      <c r="D5" s="4" t="s">
        <v>1498</v>
      </c>
      <c r="E5" s="4">
        <v>4140</v>
      </c>
      <c r="F5" s="4" t="s">
        <v>1454</v>
      </c>
      <c r="G5" s="4" t="s">
        <v>1497</v>
      </c>
      <c r="H5" s="4" t="s">
        <v>1592</v>
      </c>
      <c r="I5" s="4" t="s">
        <v>1601</v>
      </c>
      <c r="J5" s="4"/>
      <c r="K5" s="4"/>
      <c r="L5" s="4"/>
      <c r="M5" s="4"/>
      <c r="N5" s="4"/>
      <c r="O5" s="4">
        <v>11100</v>
      </c>
      <c r="P5" s="4">
        <v>8121120460</v>
      </c>
      <c r="Q5" s="4"/>
    </row>
    <row r="6" spans="1:18" ht="60" x14ac:dyDescent="0.25">
      <c r="A6" s="8">
        <v>44292</v>
      </c>
      <c r="B6" s="4" t="s">
        <v>1358</v>
      </c>
      <c r="C6" s="4"/>
      <c r="D6" s="40" t="s">
        <v>1857</v>
      </c>
      <c r="E6" s="4">
        <v>3610</v>
      </c>
      <c r="F6" s="4" t="s">
        <v>1474</v>
      </c>
      <c r="G6" s="4" t="s">
        <v>1579</v>
      </c>
      <c r="H6" s="4" t="s">
        <v>1692</v>
      </c>
      <c r="I6" s="4">
        <v>1120</v>
      </c>
      <c r="J6" s="4">
        <v>900</v>
      </c>
      <c r="K6" s="4">
        <v>320</v>
      </c>
      <c r="L6" s="4">
        <v>650</v>
      </c>
      <c r="M6" s="4"/>
      <c r="N6" s="4"/>
      <c r="O6" s="4">
        <v>15560</v>
      </c>
      <c r="P6" s="4"/>
      <c r="Q6" s="4"/>
    </row>
    <row r="7" spans="1:18" ht="75" x14ac:dyDescent="0.25">
      <c r="A7" s="8">
        <v>44296</v>
      </c>
      <c r="B7" s="4" t="s">
        <v>1373</v>
      </c>
      <c r="C7" s="4"/>
      <c r="D7" s="40" t="s">
        <v>1685</v>
      </c>
      <c r="E7" s="4">
        <v>5000</v>
      </c>
      <c r="F7" s="4" t="s">
        <v>1477</v>
      </c>
      <c r="G7" s="4" t="s">
        <v>1687</v>
      </c>
      <c r="H7" s="4"/>
      <c r="I7" s="4"/>
      <c r="J7" s="4"/>
      <c r="K7" s="4"/>
      <c r="L7" s="4"/>
      <c r="M7" s="4"/>
      <c r="N7" s="4"/>
      <c r="O7" s="4">
        <v>13700</v>
      </c>
      <c r="P7" s="4"/>
      <c r="Q7" s="4"/>
    </row>
    <row r="8" spans="1:18" x14ac:dyDescent="0.25">
      <c r="A8" s="8">
        <v>44296</v>
      </c>
      <c r="B8" s="4" t="s">
        <v>1374</v>
      </c>
      <c r="C8" s="8">
        <v>44484</v>
      </c>
      <c r="D8" s="4" t="s">
        <v>1973</v>
      </c>
      <c r="E8" s="4">
        <v>1980</v>
      </c>
      <c r="F8" s="4" t="s">
        <v>1476</v>
      </c>
      <c r="G8" s="4" t="s">
        <v>1511</v>
      </c>
      <c r="H8" s="4" t="s">
        <v>1658</v>
      </c>
      <c r="I8" s="4" t="s">
        <v>1782</v>
      </c>
      <c r="J8" s="4" t="s">
        <v>1933</v>
      </c>
      <c r="K8" s="4" t="s">
        <v>1974</v>
      </c>
      <c r="L8" s="4"/>
      <c r="M8" s="4"/>
      <c r="N8" s="4"/>
      <c r="O8" s="4">
        <v>11850</v>
      </c>
      <c r="P8" s="4">
        <v>8113982962</v>
      </c>
      <c r="Q8" s="4"/>
    </row>
    <row r="9" spans="1:18" x14ac:dyDescent="0.25">
      <c r="A9" s="8">
        <v>44296</v>
      </c>
      <c r="B9" s="4" t="s">
        <v>1379</v>
      </c>
      <c r="C9" s="4"/>
      <c r="D9" s="4" t="s">
        <v>1738</v>
      </c>
      <c r="E9" s="4">
        <v>2100</v>
      </c>
      <c r="F9" s="4" t="s">
        <v>1739</v>
      </c>
      <c r="G9" s="4" t="s">
        <v>1720</v>
      </c>
      <c r="H9" s="4">
        <v>300</v>
      </c>
      <c r="I9" s="4"/>
      <c r="J9" s="4"/>
      <c r="K9" s="4"/>
      <c r="L9" s="4"/>
      <c r="M9" s="4"/>
      <c r="N9" s="4"/>
      <c r="O9" s="4">
        <v>8350</v>
      </c>
      <c r="P9" s="4">
        <v>8119554144</v>
      </c>
      <c r="Q9" s="4"/>
    </row>
    <row r="10" spans="1:18" x14ac:dyDescent="0.25">
      <c r="A10" s="8">
        <v>44303</v>
      </c>
      <c r="B10" s="4" t="s">
        <v>1399</v>
      </c>
      <c r="C10" s="4"/>
      <c r="D10" s="4" t="s">
        <v>1235</v>
      </c>
      <c r="E10" s="4">
        <v>2250</v>
      </c>
      <c r="F10" s="4" t="s">
        <v>1493</v>
      </c>
      <c r="G10" s="4">
        <v>2250</v>
      </c>
      <c r="H10" s="4" t="s">
        <v>1698</v>
      </c>
      <c r="I10" s="4" t="s">
        <v>1794</v>
      </c>
      <c r="J10" s="4" t="s">
        <v>1838</v>
      </c>
      <c r="K10" s="4"/>
      <c r="L10" s="4"/>
      <c r="M10" s="4"/>
      <c r="N10" s="4"/>
      <c r="O10" s="4">
        <v>15300</v>
      </c>
      <c r="P10" s="4">
        <v>8181780831</v>
      </c>
      <c r="Q10" s="4"/>
    </row>
    <row r="11" spans="1:18" x14ac:dyDescent="0.25">
      <c r="A11" s="8">
        <v>44303</v>
      </c>
      <c r="B11" s="4" t="s">
        <v>1647</v>
      </c>
      <c r="C11" s="4"/>
      <c r="D11" s="4" t="s">
        <v>2038</v>
      </c>
      <c r="E11" s="4">
        <v>3060</v>
      </c>
      <c r="F11" s="4" t="s">
        <v>1542</v>
      </c>
      <c r="G11" s="4" t="s">
        <v>1648</v>
      </c>
      <c r="H11" s="4" t="s">
        <v>1831</v>
      </c>
      <c r="I11" s="34" t="s">
        <v>1953</v>
      </c>
      <c r="J11" s="4">
        <v>240</v>
      </c>
      <c r="K11" s="4" t="s">
        <v>2134</v>
      </c>
      <c r="L11" s="4"/>
      <c r="M11" s="4"/>
      <c r="N11" s="4"/>
      <c r="O11" s="4">
        <v>15900</v>
      </c>
      <c r="P11" s="4"/>
      <c r="Q11" s="4"/>
    </row>
    <row r="12" spans="1:18" x14ac:dyDescent="0.25">
      <c r="A12" s="8">
        <v>44303</v>
      </c>
      <c r="B12" s="4" t="s">
        <v>1403</v>
      </c>
      <c r="C12" s="4"/>
      <c r="D12" s="4" t="s">
        <v>2031</v>
      </c>
      <c r="E12" s="4">
        <v>2790</v>
      </c>
      <c r="F12" s="4" t="s">
        <v>1459</v>
      </c>
      <c r="G12" s="4" t="s">
        <v>1496</v>
      </c>
      <c r="H12" s="4" t="s">
        <v>1629</v>
      </c>
      <c r="I12" s="4" t="s">
        <v>1709</v>
      </c>
      <c r="J12" s="4" t="s">
        <v>1815</v>
      </c>
      <c r="K12" s="4" t="s">
        <v>1929</v>
      </c>
      <c r="L12" s="4">
        <v>1000</v>
      </c>
      <c r="M12" s="4" t="s">
        <v>2160</v>
      </c>
      <c r="N12" s="4" t="s">
        <v>2223</v>
      </c>
      <c r="O12" s="4">
        <v>17750</v>
      </c>
      <c r="P12" s="4">
        <v>8110702400</v>
      </c>
      <c r="Q12" s="4"/>
      <c r="R12" s="51"/>
    </row>
    <row r="13" spans="1:18" ht="90" x14ac:dyDescent="0.25">
      <c r="A13" s="8">
        <v>44305</v>
      </c>
      <c r="B13" s="4" t="s">
        <v>1406</v>
      </c>
      <c r="C13" s="4"/>
      <c r="D13" s="40" t="s">
        <v>1407</v>
      </c>
      <c r="E13" s="4">
        <v>2500</v>
      </c>
      <c r="F13" s="4" t="s">
        <v>1515</v>
      </c>
      <c r="G13" s="4" t="s">
        <v>1578</v>
      </c>
      <c r="H13" s="4"/>
      <c r="I13" s="4"/>
      <c r="J13" s="4"/>
      <c r="K13" s="4"/>
      <c r="L13" s="4"/>
      <c r="M13" s="4"/>
      <c r="N13" s="4"/>
      <c r="O13" s="4">
        <v>12250</v>
      </c>
      <c r="P13" s="4">
        <v>8116403102</v>
      </c>
      <c r="Q13" s="4"/>
      <c r="R13" s="1"/>
    </row>
    <row r="14" spans="1:18" x14ac:dyDescent="0.25">
      <c r="A14" s="4" t="s">
        <v>1872</v>
      </c>
      <c r="B14" s="4" t="s">
        <v>1412</v>
      </c>
      <c r="C14" s="5">
        <v>44245</v>
      </c>
      <c r="D14" s="4" t="s">
        <v>1940</v>
      </c>
      <c r="E14" s="4">
        <v>3060</v>
      </c>
      <c r="F14" s="4" t="s">
        <v>1503</v>
      </c>
      <c r="G14" s="4" t="s">
        <v>1639</v>
      </c>
      <c r="H14" s="4" t="s">
        <v>1728</v>
      </c>
      <c r="I14" s="4" t="s">
        <v>1871</v>
      </c>
      <c r="J14" s="4">
        <v>2500</v>
      </c>
      <c r="K14" s="4"/>
      <c r="L14" s="4"/>
      <c r="M14" s="4"/>
      <c r="N14" s="4"/>
      <c r="O14" s="4">
        <v>17800</v>
      </c>
      <c r="P14" s="4">
        <v>8121908574</v>
      </c>
      <c r="Q14" s="4"/>
    </row>
    <row r="15" spans="1:18" x14ac:dyDescent="0.25">
      <c r="A15" s="8">
        <v>44306</v>
      </c>
      <c r="B15" s="4" t="s">
        <v>1414</v>
      </c>
      <c r="C15" s="4"/>
      <c r="D15" s="4" t="s">
        <v>1704</v>
      </c>
      <c r="E15" s="4">
        <v>1800</v>
      </c>
      <c r="F15" s="4" t="s">
        <v>1458</v>
      </c>
      <c r="G15" s="4" t="s">
        <v>1620</v>
      </c>
      <c r="H15" s="4" t="s">
        <v>1703</v>
      </c>
      <c r="I15" s="4"/>
      <c r="J15" s="4"/>
      <c r="K15" s="4"/>
      <c r="L15" s="4"/>
      <c r="M15" s="4"/>
      <c r="N15" s="4"/>
      <c r="O15" s="4">
        <v>9000</v>
      </c>
      <c r="P15" s="4"/>
      <c r="Q15" s="4"/>
    </row>
    <row r="16" spans="1:18" x14ac:dyDescent="0.25">
      <c r="A16" s="8">
        <v>44309</v>
      </c>
      <c r="B16" s="4" t="s">
        <v>1422</v>
      </c>
      <c r="C16" s="4"/>
      <c r="D16" s="4" t="s">
        <v>1423</v>
      </c>
      <c r="E16" s="4">
        <v>3060</v>
      </c>
      <c r="F16" s="4" t="s">
        <v>1471</v>
      </c>
      <c r="G16" s="4" t="s">
        <v>1528</v>
      </c>
      <c r="H16" s="4" t="s">
        <v>1622</v>
      </c>
      <c r="I16" s="4"/>
      <c r="J16" s="4"/>
      <c r="K16" s="4"/>
      <c r="L16" s="4"/>
      <c r="M16" s="4"/>
      <c r="N16" s="4"/>
      <c r="O16" s="4">
        <v>15300</v>
      </c>
      <c r="P16" s="4"/>
      <c r="Q16" s="4"/>
    </row>
    <row r="17" spans="1:18" x14ac:dyDescent="0.25">
      <c r="A17" s="8">
        <v>44310</v>
      </c>
      <c r="B17" s="4" t="s">
        <v>1425</v>
      </c>
      <c r="C17" s="4"/>
      <c r="D17" s="4" t="s">
        <v>1780</v>
      </c>
      <c r="E17" s="4">
        <v>3260</v>
      </c>
      <c r="F17" s="5"/>
      <c r="G17" s="4" t="s">
        <v>1626</v>
      </c>
      <c r="H17" s="4" t="s">
        <v>1741</v>
      </c>
      <c r="I17" s="4" t="s">
        <v>1918</v>
      </c>
      <c r="J17" s="36">
        <v>600</v>
      </c>
      <c r="K17" s="4" t="s">
        <v>1944</v>
      </c>
      <c r="L17" s="4" t="s">
        <v>1999</v>
      </c>
      <c r="M17" s="4"/>
      <c r="N17" s="4"/>
      <c r="O17" s="4">
        <v>17100</v>
      </c>
      <c r="P17" s="4"/>
      <c r="Q17" s="4"/>
    </row>
    <row r="18" spans="1:18" x14ac:dyDescent="0.25">
      <c r="A18" s="87">
        <v>44314</v>
      </c>
      <c r="B18" s="38" t="s">
        <v>1436</v>
      </c>
      <c r="C18" s="38"/>
      <c r="D18" s="38" t="s">
        <v>1437</v>
      </c>
      <c r="E18" s="38">
        <v>1000</v>
      </c>
      <c r="F18" s="38" t="s">
        <v>1455</v>
      </c>
      <c r="G18" s="38" t="s">
        <v>1546</v>
      </c>
      <c r="H18" s="38"/>
      <c r="I18" s="38"/>
      <c r="J18" s="38"/>
      <c r="K18" s="38"/>
      <c r="L18" s="38"/>
      <c r="M18" s="38"/>
      <c r="N18" s="38"/>
      <c r="O18" s="38">
        <v>13750</v>
      </c>
      <c r="P18" s="38">
        <v>8121573360</v>
      </c>
      <c r="Q18" s="38" t="s">
        <v>1787</v>
      </c>
      <c r="R18" s="9"/>
    </row>
    <row r="19" spans="1:18" ht="120" x14ac:dyDescent="0.25">
      <c r="A19" s="8">
        <v>44315</v>
      </c>
      <c r="B19" s="4" t="s">
        <v>1438</v>
      </c>
      <c r="C19" s="4"/>
      <c r="D19" s="40" t="s">
        <v>1606</v>
      </c>
      <c r="E19" s="4">
        <v>2160</v>
      </c>
      <c r="F19" s="4" t="s">
        <v>1528</v>
      </c>
      <c r="G19" s="4" t="s">
        <v>1527</v>
      </c>
      <c r="H19" s="4" t="s">
        <v>1580</v>
      </c>
      <c r="I19" s="4" t="s">
        <v>1605</v>
      </c>
      <c r="J19" s="4"/>
      <c r="K19" s="4"/>
      <c r="L19" s="4"/>
      <c r="M19" s="4"/>
      <c r="N19" s="4"/>
      <c r="O19" s="4">
        <v>10800</v>
      </c>
      <c r="P19" s="4"/>
      <c r="Q19" s="4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41"/>
  <sheetViews>
    <sheetView topLeftCell="A25" workbookViewId="0"/>
  </sheetViews>
  <sheetFormatPr baseColWidth="10" defaultRowHeight="15" x14ac:dyDescent="0.25"/>
  <sheetData>
    <row r="1" spans="1:17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/>
      <c r="M1" s="71"/>
      <c r="N1" s="71"/>
      <c r="O1" s="71" t="s">
        <v>1216</v>
      </c>
      <c r="P1" s="71" t="s">
        <v>1217</v>
      </c>
      <c r="Q1" s="71"/>
    </row>
    <row r="2" spans="1:17" ht="75" x14ac:dyDescent="0.25">
      <c r="A2" s="8">
        <v>44256</v>
      </c>
      <c r="B2" s="4" t="s">
        <v>1349</v>
      </c>
      <c r="C2" s="4"/>
      <c r="D2" s="40" t="s">
        <v>1604</v>
      </c>
      <c r="E2" s="24" t="s">
        <v>1227</v>
      </c>
      <c r="F2" s="4" t="s">
        <v>1350</v>
      </c>
      <c r="G2" s="4" t="s">
        <v>1461</v>
      </c>
      <c r="H2" s="4"/>
      <c r="I2" s="4" t="s">
        <v>1462</v>
      </c>
      <c r="J2" s="4">
        <v>3660</v>
      </c>
      <c r="K2" s="4">
        <v>320</v>
      </c>
      <c r="L2" s="4">
        <v>580</v>
      </c>
      <c r="M2" s="4"/>
      <c r="N2" s="4"/>
      <c r="O2" s="4">
        <v>8800</v>
      </c>
      <c r="P2" s="4">
        <v>8112804367</v>
      </c>
      <c r="Q2" s="4"/>
    </row>
    <row r="3" spans="1:17" x14ac:dyDescent="0.25">
      <c r="A3" s="8">
        <v>44256</v>
      </c>
      <c r="B3" s="4" t="s">
        <v>1229</v>
      </c>
      <c r="C3" s="4"/>
      <c r="D3" s="4" t="s">
        <v>1230</v>
      </c>
      <c r="E3" s="84">
        <v>2000</v>
      </c>
      <c r="F3" s="4">
        <v>7900</v>
      </c>
      <c r="G3" s="4"/>
      <c r="H3" s="4"/>
      <c r="I3" s="4"/>
      <c r="J3" s="4"/>
      <c r="K3" s="4"/>
      <c r="L3" s="4"/>
      <c r="M3" s="4"/>
      <c r="N3" s="4"/>
      <c r="O3" s="4">
        <v>9900</v>
      </c>
      <c r="P3" s="4"/>
      <c r="Q3" s="4"/>
    </row>
    <row r="4" spans="1:17" x14ac:dyDescent="0.25">
      <c r="A4" s="8">
        <v>44257</v>
      </c>
      <c r="B4" s="4" t="s">
        <v>1234</v>
      </c>
      <c r="C4" s="4"/>
      <c r="D4" s="4" t="s">
        <v>1235</v>
      </c>
      <c r="E4" s="24">
        <v>6800</v>
      </c>
      <c r="F4" s="4" t="s">
        <v>1282</v>
      </c>
      <c r="G4" s="4" t="s">
        <v>1427</v>
      </c>
      <c r="H4" s="4"/>
      <c r="I4" s="4"/>
      <c r="J4" s="4"/>
      <c r="K4" s="4"/>
      <c r="L4" s="4"/>
      <c r="M4" s="4"/>
      <c r="N4" s="4"/>
      <c r="O4" s="4">
        <v>17000</v>
      </c>
      <c r="P4" s="4">
        <v>8110197345</v>
      </c>
      <c r="Q4" s="4"/>
    </row>
    <row r="5" spans="1:17" x14ac:dyDescent="0.25">
      <c r="A5" s="8">
        <v>44261</v>
      </c>
      <c r="B5" s="4" t="s">
        <v>1244</v>
      </c>
      <c r="C5" s="4"/>
      <c r="D5" s="4" t="s">
        <v>1245</v>
      </c>
      <c r="E5" s="24">
        <v>5140</v>
      </c>
      <c r="F5" s="4">
        <v>7710</v>
      </c>
      <c r="G5" s="4"/>
      <c r="H5" s="4"/>
      <c r="I5" s="4"/>
      <c r="J5" s="4"/>
      <c r="K5" s="4"/>
      <c r="L5" s="4"/>
      <c r="M5" s="4"/>
      <c r="N5" s="4"/>
      <c r="O5" s="4">
        <v>12850</v>
      </c>
      <c r="P5" s="4"/>
      <c r="Q5" s="4"/>
    </row>
    <row r="6" spans="1:17" ht="90" x14ac:dyDescent="0.25">
      <c r="A6" s="8" t="s">
        <v>1913</v>
      </c>
      <c r="B6" s="4" t="s">
        <v>1353</v>
      </c>
      <c r="C6" s="4"/>
      <c r="D6" s="40" t="s">
        <v>1675</v>
      </c>
      <c r="E6" s="24">
        <v>1980</v>
      </c>
      <c r="F6" s="4" t="s">
        <v>1354</v>
      </c>
      <c r="G6" s="4" t="s">
        <v>1472</v>
      </c>
      <c r="H6" s="4"/>
      <c r="I6" s="4" t="s">
        <v>1562</v>
      </c>
      <c r="J6" s="4" t="s">
        <v>1674</v>
      </c>
      <c r="K6" s="4" t="s">
        <v>1676</v>
      </c>
      <c r="L6" s="4" t="s">
        <v>1912</v>
      </c>
      <c r="M6" s="4"/>
      <c r="N6" s="4"/>
      <c r="O6" s="4">
        <v>11200</v>
      </c>
      <c r="P6" s="4"/>
      <c r="Q6" s="4"/>
    </row>
    <row r="7" spans="1:17" x14ac:dyDescent="0.25">
      <c r="A7" s="8">
        <v>44261</v>
      </c>
      <c r="B7" s="4" t="s">
        <v>1246</v>
      </c>
      <c r="C7" s="4"/>
      <c r="D7" s="4" t="s">
        <v>1247</v>
      </c>
      <c r="E7" s="24">
        <v>3700</v>
      </c>
      <c r="F7" s="4" t="s">
        <v>1352</v>
      </c>
      <c r="G7" s="4" t="s">
        <v>1468</v>
      </c>
      <c r="H7" s="4"/>
      <c r="I7" s="4" t="s">
        <v>1567</v>
      </c>
      <c r="J7" s="4"/>
      <c r="K7" s="4"/>
      <c r="L7" s="4"/>
      <c r="M7" s="4"/>
      <c r="N7" s="4"/>
      <c r="O7" s="4">
        <v>18500</v>
      </c>
      <c r="P7" s="4"/>
      <c r="Q7" s="4"/>
    </row>
    <row r="8" spans="1:17" x14ac:dyDescent="0.25">
      <c r="A8" s="26">
        <v>44261</v>
      </c>
      <c r="B8" s="10" t="s">
        <v>1248</v>
      </c>
      <c r="C8" s="44" t="s">
        <v>1914</v>
      </c>
      <c r="D8" s="10" t="s">
        <v>1249</v>
      </c>
      <c r="E8" s="43">
        <v>2750</v>
      </c>
      <c r="F8" s="10" t="s">
        <v>1357</v>
      </c>
      <c r="G8" s="10"/>
      <c r="H8" s="10"/>
      <c r="I8" s="10"/>
      <c r="J8" s="10"/>
      <c r="K8" s="10"/>
      <c r="L8" s="10"/>
      <c r="M8" s="10"/>
      <c r="N8" s="10"/>
      <c r="O8" s="10">
        <v>11250</v>
      </c>
      <c r="P8" s="10">
        <v>8131282534</v>
      </c>
      <c r="Q8" s="10" t="s">
        <v>2199</v>
      </c>
    </row>
    <row r="9" spans="1:17" x14ac:dyDescent="0.25">
      <c r="A9" s="8">
        <v>44261</v>
      </c>
      <c r="B9" s="4" t="s">
        <v>1355</v>
      </c>
      <c r="C9" s="4"/>
      <c r="D9" s="4" t="s">
        <v>1789</v>
      </c>
      <c r="E9" s="24">
        <v>3210</v>
      </c>
      <c r="F9" s="4" t="s">
        <v>1356</v>
      </c>
      <c r="G9" s="4" t="s">
        <v>1469</v>
      </c>
      <c r="H9" s="4"/>
      <c r="I9" s="4" t="s">
        <v>1561</v>
      </c>
      <c r="J9" s="4" t="s">
        <v>1677</v>
      </c>
      <c r="K9" s="4" t="s">
        <v>2066</v>
      </c>
      <c r="L9" s="4"/>
      <c r="M9" s="4"/>
      <c r="N9" s="4"/>
      <c r="O9" s="4">
        <v>17150</v>
      </c>
      <c r="P9" s="4">
        <v>8110189292</v>
      </c>
      <c r="Q9" s="4"/>
    </row>
    <row r="10" spans="1:17" ht="75" x14ac:dyDescent="0.25">
      <c r="A10" s="8">
        <v>44263</v>
      </c>
      <c r="B10" s="4" t="s">
        <v>1251</v>
      </c>
      <c r="C10" s="4"/>
      <c r="D10" s="40" t="s">
        <v>1717</v>
      </c>
      <c r="E10" s="24">
        <v>4500</v>
      </c>
      <c r="F10" s="4" t="s">
        <v>1490</v>
      </c>
      <c r="G10" s="4">
        <v>2000</v>
      </c>
      <c r="H10" s="4" t="s">
        <v>1761</v>
      </c>
      <c r="I10" s="4" t="s">
        <v>2045</v>
      </c>
      <c r="J10" s="4" t="s">
        <v>2074</v>
      </c>
      <c r="K10" s="4"/>
      <c r="L10" s="4"/>
      <c r="M10" s="4"/>
      <c r="N10" s="4"/>
      <c r="O10" s="4">
        <v>23600</v>
      </c>
      <c r="P10" s="4"/>
      <c r="Q10" s="4"/>
    </row>
    <row r="11" spans="1:17" x14ac:dyDescent="0.25">
      <c r="A11" s="8">
        <v>44264</v>
      </c>
      <c r="B11" s="4" t="s">
        <v>2075</v>
      </c>
      <c r="C11" s="8">
        <v>44485</v>
      </c>
      <c r="D11" s="4" t="s">
        <v>1569</v>
      </c>
      <c r="E11" s="83">
        <v>5000</v>
      </c>
      <c r="F11" s="4" t="s">
        <v>1464</v>
      </c>
      <c r="G11" s="4" t="s">
        <v>1513</v>
      </c>
      <c r="H11" s="4"/>
      <c r="I11" s="4" t="s">
        <v>1570</v>
      </c>
      <c r="J11" s="4" t="s">
        <v>1684</v>
      </c>
      <c r="K11" s="4"/>
      <c r="L11" s="4"/>
      <c r="M11" s="4"/>
      <c r="N11" s="4"/>
      <c r="O11" s="4">
        <v>16700</v>
      </c>
      <c r="P11" s="4"/>
      <c r="Q11" s="4"/>
    </row>
    <row r="12" spans="1:17" x14ac:dyDescent="0.25">
      <c r="A12" s="8">
        <v>44266</v>
      </c>
      <c r="B12" s="4" t="s">
        <v>1255</v>
      </c>
      <c r="C12" s="8">
        <v>44492</v>
      </c>
      <c r="D12" s="4" t="s">
        <v>1516</v>
      </c>
      <c r="E12" s="24">
        <v>2300</v>
      </c>
      <c r="F12" s="4" t="s">
        <v>1382</v>
      </c>
      <c r="G12" s="4" t="s">
        <v>1489</v>
      </c>
      <c r="H12" s="4"/>
      <c r="I12" s="4" t="s">
        <v>1517</v>
      </c>
      <c r="J12" s="4" t="s">
        <v>1683</v>
      </c>
      <c r="K12" s="4"/>
      <c r="L12" s="4"/>
      <c r="M12" s="4"/>
      <c r="N12" s="4"/>
      <c r="O12" s="4">
        <v>11500</v>
      </c>
      <c r="P12" s="4">
        <v>8114997584</v>
      </c>
      <c r="Q12" s="4"/>
    </row>
    <row r="13" spans="1:17" x14ac:dyDescent="0.25">
      <c r="A13" s="8">
        <v>44267</v>
      </c>
      <c r="B13" s="4" t="s">
        <v>1256</v>
      </c>
      <c r="C13" s="4"/>
      <c r="D13" s="4" t="s">
        <v>1807</v>
      </c>
      <c r="E13" s="24">
        <v>2200</v>
      </c>
      <c r="F13" s="4" t="s">
        <v>1383</v>
      </c>
      <c r="G13" s="4" t="s">
        <v>1487</v>
      </c>
      <c r="H13" s="4" t="s">
        <v>1743</v>
      </c>
      <c r="I13" s="4" t="s">
        <v>1729</v>
      </c>
      <c r="J13" s="4" t="s">
        <v>1784</v>
      </c>
      <c r="K13" s="4" t="s">
        <v>1994</v>
      </c>
      <c r="L13" s="4"/>
      <c r="M13" s="4"/>
      <c r="N13" s="4"/>
      <c r="O13" s="4">
        <v>12550</v>
      </c>
      <c r="P13" s="4"/>
      <c r="Q13" s="4"/>
    </row>
    <row r="14" spans="1:17" ht="90" x14ac:dyDescent="0.25">
      <c r="A14" s="8"/>
      <c r="B14" s="4" t="s">
        <v>1276</v>
      </c>
      <c r="C14" s="4"/>
      <c r="D14" s="40" t="s">
        <v>1764</v>
      </c>
      <c r="E14" s="24">
        <v>2400</v>
      </c>
      <c r="F14" s="4" t="s">
        <v>1384</v>
      </c>
      <c r="G14" s="4" t="s">
        <v>1470</v>
      </c>
      <c r="H14" s="4"/>
      <c r="I14" s="4" t="s">
        <v>1593</v>
      </c>
      <c r="J14" s="4" t="s">
        <v>1765</v>
      </c>
      <c r="K14" s="4"/>
      <c r="L14" s="4"/>
      <c r="M14" s="4"/>
      <c r="N14" s="4"/>
      <c r="O14" s="4">
        <v>12000</v>
      </c>
      <c r="P14" s="4"/>
      <c r="Q14" s="4"/>
    </row>
    <row r="15" spans="1:17" x14ac:dyDescent="0.25">
      <c r="A15" s="8">
        <v>44268</v>
      </c>
      <c r="B15" s="4" t="s">
        <v>1376</v>
      </c>
      <c r="C15" s="8">
        <v>44653</v>
      </c>
      <c r="D15" s="4" t="s">
        <v>2331</v>
      </c>
      <c r="E15" s="24">
        <v>1980</v>
      </c>
      <c r="F15" s="4" t="s">
        <v>1377</v>
      </c>
      <c r="G15" s="4" t="s">
        <v>1480</v>
      </c>
      <c r="H15" s="4" t="s">
        <v>1589</v>
      </c>
      <c r="I15" s="4" t="s">
        <v>1689</v>
      </c>
      <c r="J15" s="34" t="s">
        <v>1778</v>
      </c>
      <c r="K15" s="4" t="s">
        <v>1884</v>
      </c>
      <c r="L15" s="4" t="s">
        <v>1985</v>
      </c>
      <c r="M15" s="4" t="s">
        <v>2130</v>
      </c>
      <c r="N15" s="4"/>
      <c r="O15" s="4">
        <v>11750</v>
      </c>
      <c r="P15" s="4">
        <v>8180107545</v>
      </c>
      <c r="Q15" s="4"/>
    </row>
    <row r="16" spans="1:17" x14ac:dyDescent="0.25">
      <c r="A16" s="8">
        <v>44268</v>
      </c>
      <c r="B16" s="4" t="s">
        <v>1306</v>
      </c>
      <c r="C16" s="4"/>
      <c r="D16" s="4" t="s">
        <v>1325</v>
      </c>
      <c r="E16" s="24">
        <v>4000</v>
      </c>
      <c r="F16" s="4" t="s">
        <v>1324</v>
      </c>
      <c r="G16" s="4"/>
      <c r="H16" s="4"/>
      <c r="I16" s="4"/>
      <c r="J16" s="4"/>
      <c r="K16" s="4"/>
      <c r="L16" s="4"/>
      <c r="M16" s="4"/>
      <c r="N16" s="4"/>
      <c r="O16" s="4">
        <v>9900</v>
      </c>
      <c r="P16" s="4"/>
      <c r="Q16" s="4"/>
    </row>
    <row r="17" spans="1:17" x14ac:dyDescent="0.25">
      <c r="A17" s="8">
        <v>44268</v>
      </c>
      <c r="B17" s="4" t="s">
        <v>1267</v>
      </c>
      <c r="C17" s="4"/>
      <c r="D17" s="4" t="s">
        <v>1258</v>
      </c>
      <c r="E17" s="24">
        <v>3000</v>
      </c>
      <c r="F17" s="4" t="s">
        <v>1268</v>
      </c>
      <c r="G17" s="4" t="s">
        <v>1387</v>
      </c>
      <c r="H17" s="4"/>
      <c r="I17" s="4" t="s">
        <v>1491</v>
      </c>
      <c r="J17" s="4" t="s">
        <v>1586</v>
      </c>
      <c r="K17" s="4"/>
      <c r="L17" s="4"/>
      <c r="M17" s="4"/>
      <c r="N17" s="4"/>
      <c r="O17" s="4">
        <v>19850</v>
      </c>
      <c r="P17" s="4"/>
      <c r="Q17" s="4"/>
    </row>
    <row r="18" spans="1:17" x14ac:dyDescent="0.25">
      <c r="A18" s="8">
        <v>44268</v>
      </c>
      <c r="B18" s="4" t="s">
        <v>1260</v>
      </c>
      <c r="C18" s="4"/>
      <c r="D18" s="4" t="s">
        <v>2043</v>
      </c>
      <c r="E18" s="24">
        <v>3060</v>
      </c>
      <c r="F18" s="4" t="s">
        <v>1371</v>
      </c>
      <c r="G18" s="4" t="s">
        <v>1388</v>
      </c>
      <c r="H18" s="4" t="s">
        <v>2044</v>
      </c>
      <c r="I18" s="4"/>
      <c r="J18" s="4"/>
      <c r="K18" s="4"/>
      <c r="L18" s="4"/>
      <c r="M18" s="4"/>
      <c r="N18" s="4"/>
      <c r="O18" s="4">
        <v>16800</v>
      </c>
      <c r="P18" s="4"/>
      <c r="Q18" s="4"/>
    </row>
    <row r="19" spans="1:17" ht="90" x14ac:dyDescent="0.25">
      <c r="A19" s="8">
        <v>44268</v>
      </c>
      <c r="B19" s="4" t="s">
        <v>1261</v>
      </c>
      <c r="C19" s="4"/>
      <c r="D19" s="40" t="s">
        <v>1262</v>
      </c>
      <c r="E19" s="24">
        <v>7400</v>
      </c>
      <c r="F19" s="4" t="s">
        <v>1386</v>
      </c>
      <c r="G19" s="4" t="s">
        <v>1541</v>
      </c>
      <c r="H19" s="4"/>
      <c r="I19" s="4">
        <v>750</v>
      </c>
      <c r="J19" s="4"/>
      <c r="K19" s="4"/>
      <c r="L19" s="4"/>
      <c r="M19" s="4"/>
      <c r="N19" s="4"/>
      <c r="O19" s="4">
        <v>18500</v>
      </c>
      <c r="P19" s="4"/>
      <c r="Q19" s="4"/>
    </row>
    <row r="20" spans="1:17" ht="105" x14ac:dyDescent="0.25">
      <c r="A20" s="8">
        <v>44272</v>
      </c>
      <c r="B20" s="4" t="s">
        <v>1266</v>
      </c>
      <c r="C20" s="8">
        <v>44478</v>
      </c>
      <c r="D20" s="40" t="s">
        <v>1806</v>
      </c>
      <c r="E20" s="24">
        <v>1000</v>
      </c>
      <c r="F20" s="4" t="s">
        <v>1397</v>
      </c>
      <c r="G20" s="4" t="s">
        <v>1521</v>
      </c>
      <c r="H20" s="4"/>
      <c r="I20" s="4" t="s">
        <v>1607</v>
      </c>
      <c r="J20" s="4" t="s">
        <v>1621</v>
      </c>
      <c r="K20" s="4" t="s">
        <v>1701</v>
      </c>
      <c r="L20" s="4" t="s">
        <v>1702</v>
      </c>
      <c r="M20" s="4" t="s">
        <v>1805</v>
      </c>
      <c r="N20" s="4" t="s">
        <v>1970</v>
      </c>
      <c r="O20" s="4">
        <v>6400</v>
      </c>
      <c r="P20" s="4"/>
      <c r="Q20" s="4"/>
    </row>
    <row r="21" spans="1:17" x14ac:dyDescent="0.25">
      <c r="A21" s="8">
        <v>44272</v>
      </c>
      <c r="B21" s="4" t="s">
        <v>1270</v>
      </c>
      <c r="C21" s="4"/>
      <c r="D21" s="4" t="s">
        <v>1978</v>
      </c>
      <c r="E21" s="24">
        <v>2160</v>
      </c>
      <c r="F21" s="4" t="s">
        <v>1737</v>
      </c>
      <c r="G21" s="4">
        <v>13140</v>
      </c>
      <c r="H21" s="4" t="s">
        <v>1979</v>
      </c>
      <c r="I21" s="4"/>
      <c r="J21" s="4"/>
      <c r="K21" s="4"/>
      <c r="L21" s="4"/>
      <c r="M21" s="4"/>
      <c r="N21" s="4"/>
      <c r="O21" s="4">
        <v>17800</v>
      </c>
      <c r="P21" s="4">
        <v>8118932356</v>
      </c>
      <c r="Q21" s="4"/>
    </row>
    <row r="22" spans="1:17" ht="75" x14ac:dyDescent="0.25">
      <c r="A22" s="8">
        <v>44272</v>
      </c>
      <c r="B22" s="4" t="s">
        <v>1271</v>
      </c>
      <c r="C22" s="4"/>
      <c r="D22" s="40" t="s">
        <v>1272</v>
      </c>
      <c r="E22" s="24">
        <v>2130</v>
      </c>
      <c r="F22" s="4" t="s">
        <v>1402</v>
      </c>
      <c r="G22" s="4"/>
      <c r="H22" s="4"/>
      <c r="I22" s="4"/>
      <c r="J22" s="4"/>
      <c r="K22" s="4"/>
      <c r="L22" s="4"/>
      <c r="M22" s="4"/>
      <c r="N22" s="4"/>
      <c r="O22" s="4">
        <v>10650</v>
      </c>
      <c r="P22" s="4">
        <v>8181166045</v>
      </c>
      <c r="Q22" s="4"/>
    </row>
    <row r="23" spans="1:17" x14ac:dyDescent="0.25">
      <c r="A23" s="8">
        <v>44273</v>
      </c>
      <c r="B23" s="4" t="s">
        <v>1273</v>
      </c>
      <c r="C23" s="4"/>
      <c r="D23" s="4" t="s">
        <v>1274</v>
      </c>
      <c r="E23" s="24">
        <v>2250</v>
      </c>
      <c r="F23" s="4" t="s">
        <v>1409</v>
      </c>
      <c r="G23" s="4" t="s">
        <v>1526</v>
      </c>
      <c r="H23" s="4"/>
      <c r="I23" s="4" t="s">
        <v>1608</v>
      </c>
      <c r="J23" s="4" t="s">
        <v>1748</v>
      </c>
      <c r="K23" s="4"/>
      <c r="L23" s="4"/>
      <c r="M23" s="4"/>
      <c r="N23" s="4"/>
      <c r="O23" s="4">
        <v>11250</v>
      </c>
      <c r="P23" s="4"/>
      <c r="Q23" s="4"/>
    </row>
    <row r="24" spans="1:17" x14ac:dyDescent="0.25">
      <c r="A24" s="5">
        <v>44275</v>
      </c>
      <c r="B24" s="4" t="s">
        <v>1287</v>
      </c>
      <c r="C24" s="4"/>
      <c r="D24" s="4" t="s">
        <v>1288</v>
      </c>
      <c r="E24" s="24">
        <v>3060</v>
      </c>
      <c r="F24" s="4" t="s">
        <v>1421</v>
      </c>
      <c r="G24" s="4" t="s">
        <v>1568</v>
      </c>
      <c r="H24" s="4"/>
      <c r="I24" s="4"/>
      <c r="J24" s="4"/>
      <c r="K24" s="4"/>
      <c r="L24" s="4"/>
      <c r="M24" s="4"/>
      <c r="N24" s="4"/>
      <c r="O24" s="4">
        <v>15300</v>
      </c>
      <c r="P24" s="4">
        <v>8111263096</v>
      </c>
      <c r="Q24" s="4"/>
    </row>
    <row r="25" spans="1:17" x14ac:dyDescent="0.25">
      <c r="A25" s="8">
        <v>44275</v>
      </c>
      <c r="B25" s="4" t="s">
        <v>1290</v>
      </c>
      <c r="C25" s="4"/>
      <c r="D25" s="4" t="s">
        <v>1291</v>
      </c>
      <c r="E25" s="24">
        <v>6000</v>
      </c>
      <c r="F25" s="4"/>
      <c r="G25" s="4"/>
      <c r="H25" s="4"/>
      <c r="I25" s="4"/>
      <c r="J25" s="4"/>
      <c r="K25" s="4"/>
      <c r="L25" s="4"/>
      <c r="M25" s="4"/>
      <c r="N25" s="4"/>
      <c r="O25" s="4">
        <v>6000</v>
      </c>
      <c r="P25" s="4">
        <v>8180149434</v>
      </c>
      <c r="Q25" s="4"/>
    </row>
    <row r="26" spans="1:17" x14ac:dyDescent="0.25">
      <c r="A26" s="8">
        <v>44277</v>
      </c>
      <c r="B26" s="4" t="s">
        <v>1297</v>
      </c>
      <c r="C26" s="8">
        <v>44660</v>
      </c>
      <c r="D26" s="4" t="s">
        <v>1298</v>
      </c>
      <c r="E26" s="24">
        <v>7500</v>
      </c>
      <c r="F26" s="4" t="s">
        <v>1418</v>
      </c>
      <c r="G26" s="4" t="s">
        <v>1505</v>
      </c>
      <c r="H26" s="4"/>
      <c r="I26" s="4" t="s">
        <v>1633</v>
      </c>
      <c r="J26" s="4"/>
      <c r="K26" s="4"/>
      <c r="L26" s="4"/>
      <c r="M26" s="4"/>
      <c r="N26" s="4"/>
      <c r="O26" s="4">
        <v>12500</v>
      </c>
      <c r="P26" s="4">
        <v>8126014766</v>
      </c>
      <c r="Q26" s="4"/>
    </row>
    <row r="27" spans="1:17" x14ac:dyDescent="0.25">
      <c r="A27" s="8">
        <v>44278</v>
      </c>
      <c r="B27" s="4" t="s">
        <v>1300</v>
      </c>
      <c r="C27" s="4"/>
      <c r="D27" s="4" t="s">
        <v>1301</v>
      </c>
      <c r="E27" s="24">
        <v>15700</v>
      </c>
      <c r="F27" s="4" t="s">
        <v>1483</v>
      </c>
      <c r="G27" s="4" t="s">
        <v>1484</v>
      </c>
      <c r="H27" s="4"/>
      <c r="I27" s="4"/>
      <c r="J27" s="4"/>
      <c r="K27" s="4"/>
      <c r="L27" s="4"/>
      <c r="M27" s="4"/>
      <c r="N27" s="4"/>
      <c r="O27" s="4">
        <v>15700</v>
      </c>
      <c r="P27" s="4">
        <v>8672523083</v>
      </c>
      <c r="Q27" s="4"/>
    </row>
    <row r="28" spans="1:17" x14ac:dyDescent="0.25">
      <c r="A28" s="8">
        <v>44278</v>
      </c>
      <c r="B28" s="4" t="s">
        <v>1302</v>
      </c>
      <c r="C28" s="4"/>
      <c r="D28" s="4" t="s">
        <v>1303</v>
      </c>
      <c r="E28" s="24">
        <v>5000</v>
      </c>
      <c r="F28" s="4" t="s">
        <v>1434</v>
      </c>
      <c r="G28" s="4" t="s">
        <v>1506</v>
      </c>
      <c r="H28" s="4"/>
      <c r="I28" s="4"/>
      <c r="J28" s="4"/>
      <c r="K28" s="4"/>
      <c r="L28" s="4"/>
      <c r="M28" s="4"/>
      <c r="N28" s="4"/>
      <c r="O28" s="4">
        <v>10500</v>
      </c>
      <c r="P28" s="4"/>
      <c r="Q28" s="4"/>
    </row>
    <row r="29" spans="1:17" x14ac:dyDescent="0.25">
      <c r="A29" s="8">
        <v>44280</v>
      </c>
      <c r="B29" s="4" t="s">
        <v>1305</v>
      </c>
      <c r="C29" s="4"/>
      <c r="D29" s="4" t="s">
        <v>1337</v>
      </c>
      <c r="E29" s="24">
        <v>2070</v>
      </c>
      <c r="F29" s="4" t="s">
        <v>1338</v>
      </c>
      <c r="G29" s="4" t="s">
        <v>1582</v>
      </c>
      <c r="H29" s="4"/>
      <c r="I29" s="4"/>
      <c r="J29" s="4"/>
      <c r="K29" s="4"/>
      <c r="L29" s="4"/>
      <c r="M29" s="4"/>
      <c r="N29" s="4"/>
      <c r="O29" s="4">
        <v>11850</v>
      </c>
      <c r="P29" s="4"/>
      <c r="Q29" s="4"/>
    </row>
    <row r="30" spans="1:17" x14ac:dyDescent="0.25">
      <c r="A30" s="1"/>
      <c r="B30" s="1"/>
      <c r="C30" s="1"/>
      <c r="D30" s="1"/>
      <c r="E30" s="7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7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7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1"/>
  <sheetViews>
    <sheetView topLeftCell="A9" workbookViewId="0"/>
  </sheetViews>
  <sheetFormatPr baseColWidth="10" defaultRowHeight="15" x14ac:dyDescent="0.25"/>
  <sheetData>
    <row r="1" spans="1:15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 t="s">
        <v>1216</v>
      </c>
      <c r="M1" s="71" t="s">
        <v>1217</v>
      </c>
      <c r="N1" s="71"/>
    </row>
    <row r="2" spans="1:15" x14ac:dyDescent="0.25">
      <c r="A2" s="8">
        <v>44317</v>
      </c>
      <c r="B2" s="4" t="s">
        <v>1449</v>
      </c>
      <c r="C2" s="4"/>
      <c r="D2" s="4" t="s">
        <v>1823</v>
      </c>
      <c r="E2" s="4">
        <v>4000</v>
      </c>
      <c r="F2" s="4" t="s">
        <v>1509</v>
      </c>
      <c r="G2" s="4">
        <v>500</v>
      </c>
      <c r="H2" s="4"/>
      <c r="I2" s="4"/>
      <c r="J2" s="4"/>
      <c r="K2" s="4"/>
      <c r="L2" s="4">
        <v>20500</v>
      </c>
      <c r="M2" s="4">
        <v>8128615754</v>
      </c>
      <c r="N2" s="4"/>
    </row>
    <row r="3" spans="1:15" x14ac:dyDescent="0.25">
      <c r="A3" s="8">
        <v>44317</v>
      </c>
      <c r="B3" s="4" t="s">
        <v>1450</v>
      </c>
      <c r="C3" s="5">
        <v>44486</v>
      </c>
      <c r="D3" s="4" t="s">
        <v>1100</v>
      </c>
      <c r="E3" s="4">
        <v>1800</v>
      </c>
      <c r="F3" s="4" t="s">
        <v>1565</v>
      </c>
      <c r="G3" s="4" t="s">
        <v>1735</v>
      </c>
      <c r="H3" s="4" t="s">
        <v>1781</v>
      </c>
      <c r="I3" s="4" t="s">
        <v>1847</v>
      </c>
      <c r="J3" s="4"/>
      <c r="K3" s="4"/>
      <c r="L3" s="4">
        <v>9500</v>
      </c>
      <c r="M3" s="4">
        <v>8123470969</v>
      </c>
      <c r="N3" s="4"/>
    </row>
    <row r="4" spans="1:15" x14ac:dyDescent="0.25">
      <c r="A4" s="8">
        <v>44317</v>
      </c>
      <c r="B4" s="4" t="s">
        <v>1452</v>
      </c>
      <c r="C4" s="4"/>
      <c r="D4" s="4" t="s">
        <v>1797</v>
      </c>
      <c r="E4" s="4">
        <v>4000</v>
      </c>
      <c r="F4" s="4" t="s">
        <v>1552</v>
      </c>
      <c r="G4" s="4"/>
      <c r="H4" s="4" t="s">
        <v>1666</v>
      </c>
      <c r="I4" s="4">
        <v>1080</v>
      </c>
      <c r="J4" s="4"/>
      <c r="K4" s="4"/>
      <c r="L4" s="4">
        <v>11700</v>
      </c>
      <c r="M4" s="4"/>
      <c r="N4" s="4" t="s">
        <v>1786</v>
      </c>
    </row>
    <row r="5" spans="1:15" x14ac:dyDescent="0.25">
      <c r="A5" s="8">
        <v>44317</v>
      </c>
      <c r="B5" s="4" t="s">
        <v>1453</v>
      </c>
      <c r="C5" s="4"/>
      <c r="D5" s="4" t="s">
        <v>1830</v>
      </c>
      <c r="E5" s="4">
        <v>2490</v>
      </c>
      <c r="F5" s="4" t="s">
        <v>1555</v>
      </c>
      <c r="G5" s="4" t="s">
        <v>1646</v>
      </c>
      <c r="H5" s="4" t="s">
        <v>1761</v>
      </c>
      <c r="I5" s="4" t="s">
        <v>1829</v>
      </c>
      <c r="J5" s="4" t="s">
        <v>1855</v>
      </c>
      <c r="K5" s="4"/>
      <c r="L5" s="4">
        <v>13750</v>
      </c>
      <c r="M5" s="4"/>
      <c r="N5" s="4"/>
    </row>
    <row r="6" spans="1:15" x14ac:dyDescent="0.25">
      <c r="A6" s="26">
        <v>44319</v>
      </c>
      <c r="B6" s="10" t="s">
        <v>1456</v>
      </c>
      <c r="C6" s="10"/>
      <c r="D6" s="10" t="s">
        <v>1457</v>
      </c>
      <c r="E6" s="10">
        <v>3060</v>
      </c>
      <c r="F6" s="10"/>
      <c r="G6" s="10"/>
      <c r="H6" s="10"/>
      <c r="I6" s="10"/>
      <c r="J6" s="10"/>
      <c r="K6" s="10"/>
      <c r="L6" s="10">
        <v>15300</v>
      </c>
      <c r="M6" s="10">
        <v>8111297487</v>
      </c>
      <c r="N6" s="10" t="s">
        <v>1788</v>
      </c>
    </row>
    <row r="7" spans="1:15" x14ac:dyDescent="0.25">
      <c r="A7" s="8">
        <v>44329</v>
      </c>
      <c r="B7" s="4" t="s">
        <v>1485</v>
      </c>
      <c r="C7" s="4"/>
      <c r="D7" s="4" t="s">
        <v>1564</v>
      </c>
      <c r="E7" s="4">
        <v>2200</v>
      </c>
      <c r="F7" s="4" t="s">
        <v>1518</v>
      </c>
      <c r="G7" s="4" t="s">
        <v>1693</v>
      </c>
      <c r="H7" s="4" t="s">
        <v>1803</v>
      </c>
      <c r="I7" s="4" t="s">
        <v>1886</v>
      </c>
      <c r="J7" s="4" t="s">
        <v>1921</v>
      </c>
      <c r="K7" s="4" t="s">
        <v>1938</v>
      </c>
      <c r="L7" s="4">
        <v>11750</v>
      </c>
      <c r="M7" s="4">
        <v>8186033510</v>
      </c>
      <c r="N7" s="4"/>
    </row>
    <row r="8" spans="1:15" ht="60" x14ac:dyDescent="0.25">
      <c r="A8" s="8">
        <v>44331</v>
      </c>
      <c r="B8" s="4" t="s">
        <v>1499</v>
      </c>
      <c r="C8" s="8">
        <v>44436</v>
      </c>
      <c r="D8" s="40" t="s">
        <v>1500</v>
      </c>
      <c r="E8" s="4">
        <v>3200</v>
      </c>
      <c r="F8" s="4">
        <v>3150</v>
      </c>
      <c r="G8" s="4" t="s">
        <v>1727</v>
      </c>
      <c r="H8" s="4"/>
      <c r="I8" s="4"/>
      <c r="J8" s="4"/>
      <c r="K8" s="4"/>
      <c r="L8" s="4">
        <v>8350</v>
      </c>
      <c r="M8" s="4"/>
      <c r="N8" s="4"/>
    </row>
    <row r="9" spans="1:15" x14ac:dyDescent="0.25">
      <c r="A9" s="8">
        <v>44333</v>
      </c>
      <c r="B9" s="4" t="s">
        <v>1522</v>
      </c>
      <c r="C9" s="4"/>
      <c r="D9" s="40" t="s">
        <v>1523</v>
      </c>
      <c r="E9" s="4">
        <v>2000</v>
      </c>
      <c r="F9" s="4" t="s">
        <v>1623</v>
      </c>
      <c r="G9" s="4" t="s">
        <v>1819</v>
      </c>
      <c r="H9" s="4"/>
      <c r="I9" s="4"/>
      <c r="J9" s="4"/>
      <c r="K9" s="4"/>
      <c r="L9" s="4">
        <v>9900</v>
      </c>
      <c r="M9" s="4"/>
      <c r="N9" s="4"/>
    </row>
    <row r="10" spans="1:15" ht="45" x14ac:dyDescent="0.25">
      <c r="A10" s="8">
        <v>44334</v>
      </c>
      <c r="B10" s="4" t="s">
        <v>1524</v>
      </c>
      <c r="C10" s="4"/>
      <c r="D10" s="40" t="s">
        <v>1584</v>
      </c>
      <c r="E10" s="4">
        <v>4000</v>
      </c>
      <c r="F10" s="4" t="s">
        <v>1529</v>
      </c>
      <c r="G10" s="4" t="s">
        <v>1583</v>
      </c>
      <c r="H10" s="4" t="s">
        <v>1644</v>
      </c>
      <c r="I10" s="4" t="s">
        <v>1745</v>
      </c>
      <c r="J10" s="4" t="s">
        <v>1965</v>
      </c>
      <c r="K10" s="4"/>
      <c r="L10" s="4">
        <v>16900</v>
      </c>
      <c r="M10" s="4">
        <v>8115386958</v>
      </c>
      <c r="N10" s="4"/>
    </row>
    <row r="11" spans="1:15" ht="60" x14ac:dyDescent="0.25">
      <c r="A11" s="8">
        <v>44338</v>
      </c>
      <c r="B11" s="4" t="s">
        <v>1537</v>
      </c>
      <c r="C11" s="5">
        <v>44429</v>
      </c>
      <c r="D11" s="40" t="s">
        <v>1632</v>
      </c>
      <c r="E11" s="4">
        <v>1480</v>
      </c>
      <c r="F11" s="4">
        <v>2500</v>
      </c>
      <c r="G11" s="4">
        <v>2270</v>
      </c>
      <c r="H11" s="4"/>
      <c r="I11" s="4"/>
      <c r="J11" s="4"/>
      <c r="K11" s="4"/>
      <c r="L11" s="4">
        <v>6150</v>
      </c>
      <c r="M11" s="4">
        <v>8186016375</v>
      </c>
      <c r="N11" s="4"/>
    </row>
    <row r="12" spans="1:15" ht="75" x14ac:dyDescent="0.25">
      <c r="A12" s="8">
        <v>44338</v>
      </c>
      <c r="B12" s="4" t="s">
        <v>1716</v>
      </c>
      <c r="C12" s="5"/>
      <c r="D12" s="40" t="s">
        <v>1711</v>
      </c>
      <c r="E12" s="4">
        <v>2080</v>
      </c>
      <c r="F12" s="4" t="s">
        <v>1624</v>
      </c>
      <c r="G12" s="4" t="s">
        <v>1710</v>
      </c>
      <c r="H12" s="4" t="s">
        <v>1824</v>
      </c>
      <c r="I12" s="4" t="s">
        <v>1825</v>
      </c>
      <c r="J12" s="4" t="s">
        <v>1899</v>
      </c>
      <c r="K12" s="4"/>
      <c r="L12" s="4">
        <v>13600</v>
      </c>
      <c r="M12" s="4">
        <v>8123395212</v>
      </c>
      <c r="N12" s="4"/>
    </row>
    <row r="13" spans="1:15" x14ac:dyDescent="0.25">
      <c r="A13" s="5">
        <v>44340</v>
      </c>
      <c r="B13" s="4" t="s">
        <v>1538</v>
      </c>
      <c r="C13" s="4"/>
      <c r="D13" s="4" t="s">
        <v>1959</v>
      </c>
      <c r="E13" s="4">
        <v>3790</v>
      </c>
      <c r="F13" s="4" t="s">
        <v>1640</v>
      </c>
      <c r="G13" s="4" t="s">
        <v>1818</v>
      </c>
      <c r="H13" s="4"/>
      <c r="I13" s="4"/>
      <c r="J13" s="4"/>
      <c r="K13" s="4"/>
      <c r="L13" s="4">
        <v>18550</v>
      </c>
      <c r="M13" s="4">
        <v>8115379664</v>
      </c>
      <c r="N13" s="4" t="s">
        <v>1960</v>
      </c>
      <c r="O13" t="s">
        <v>1519</v>
      </c>
    </row>
    <row r="14" spans="1:15" x14ac:dyDescent="0.25">
      <c r="A14" s="5">
        <v>44340</v>
      </c>
      <c r="B14" s="4" t="s">
        <v>1539</v>
      </c>
      <c r="C14" s="4"/>
      <c r="D14" s="4" t="s">
        <v>1740</v>
      </c>
      <c r="E14" s="4">
        <v>2200</v>
      </c>
      <c r="F14" s="4" t="s">
        <v>1776</v>
      </c>
      <c r="G14" s="4"/>
      <c r="H14" s="4"/>
      <c r="I14" s="4"/>
      <c r="J14" s="4"/>
      <c r="K14" s="4"/>
      <c r="L14" s="4">
        <v>4400</v>
      </c>
      <c r="M14" s="4"/>
      <c r="N14" s="4"/>
      <c r="O14" t="s">
        <v>1520</v>
      </c>
    </row>
    <row r="15" spans="1:15" x14ac:dyDescent="0.25">
      <c r="A15" s="8">
        <v>44341</v>
      </c>
      <c r="B15" s="4" t="s">
        <v>1540</v>
      </c>
      <c r="C15" s="8">
        <v>44430</v>
      </c>
      <c r="D15" s="4" t="s">
        <v>1457</v>
      </c>
      <c r="E15" s="4">
        <v>2500</v>
      </c>
      <c r="F15" s="4" t="s">
        <v>1545</v>
      </c>
      <c r="G15" s="4" t="s">
        <v>1679</v>
      </c>
      <c r="H15" s="4" t="s">
        <v>1822</v>
      </c>
      <c r="I15" s="4"/>
      <c r="J15" s="4"/>
      <c r="K15" s="4"/>
      <c r="L15" s="4">
        <v>15300</v>
      </c>
      <c r="M15" s="4"/>
      <c r="N15" s="4"/>
    </row>
    <row r="16" spans="1:15" x14ac:dyDescent="0.25">
      <c r="A16" s="8">
        <v>44344</v>
      </c>
      <c r="B16" s="4" t="s">
        <v>1636</v>
      </c>
      <c r="C16" s="4"/>
      <c r="D16" s="4" t="s">
        <v>1548</v>
      </c>
      <c r="E16" s="4">
        <v>3400</v>
      </c>
      <c r="F16" s="4" t="s">
        <v>1637</v>
      </c>
      <c r="G16" s="4" t="s">
        <v>1725</v>
      </c>
      <c r="H16" s="4" t="s">
        <v>1837</v>
      </c>
      <c r="I16" s="4" t="s">
        <v>1954</v>
      </c>
      <c r="J16" s="4"/>
      <c r="K16" s="4"/>
      <c r="L16" s="4">
        <v>17000</v>
      </c>
      <c r="M16" s="4"/>
      <c r="N16" s="4"/>
    </row>
    <row r="17" spans="1:14" x14ac:dyDescent="0.25">
      <c r="A17" s="8">
        <v>44344</v>
      </c>
      <c r="B17" s="4" t="s">
        <v>1547</v>
      </c>
      <c r="C17" s="4"/>
      <c r="D17" s="4" t="s">
        <v>1525</v>
      </c>
      <c r="E17" s="4">
        <v>3400</v>
      </c>
      <c r="F17" s="4" t="s">
        <v>1641</v>
      </c>
      <c r="G17" s="4" t="s">
        <v>1745</v>
      </c>
      <c r="H17" s="4" t="s">
        <v>1876</v>
      </c>
      <c r="I17" s="4" t="s">
        <v>1955</v>
      </c>
      <c r="J17" s="4">
        <v>100</v>
      </c>
      <c r="K17" s="4"/>
      <c r="L17" s="4">
        <v>17000</v>
      </c>
      <c r="M17" s="4">
        <v>8126519227</v>
      </c>
      <c r="N17" s="4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18"/>
  <sheetViews>
    <sheetView workbookViewId="0">
      <selection activeCell="D11" sqref="D11"/>
    </sheetView>
  </sheetViews>
  <sheetFormatPr baseColWidth="10" defaultRowHeight="15" x14ac:dyDescent="0.25"/>
  <cols>
    <col min="2" max="2" width="19.5703125" customWidth="1"/>
    <col min="3" max="3" width="24" customWidth="1"/>
    <col min="4" max="4" width="30.28515625" customWidth="1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 t="s">
        <v>1216</v>
      </c>
      <c r="M1" s="71" t="s">
        <v>1217</v>
      </c>
      <c r="N1" s="71"/>
    </row>
    <row r="2" spans="1:14" x14ac:dyDescent="0.25">
      <c r="A2" s="8">
        <v>44348</v>
      </c>
      <c r="B2" s="4" t="s">
        <v>1553</v>
      </c>
      <c r="C2" s="8">
        <v>44730</v>
      </c>
      <c r="D2" s="4" t="s">
        <v>2559</v>
      </c>
      <c r="E2" s="4">
        <v>3060</v>
      </c>
      <c r="F2" s="4" t="s">
        <v>1656</v>
      </c>
      <c r="G2" s="4" t="s">
        <v>1750</v>
      </c>
      <c r="H2" s="4" t="s">
        <v>1854</v>
      </c>
      <c r="I2" s="4" t="s">
        <v>1967</v>
      </c>
      <c r="J2" s="4" t="s">
        <v>2514</v>
      </c>
      <c r="K2" s="4" t="s">
        <v>2560</v>
      </c>
      <c r="L2" s="4">
        <v>15300</v>
      </c>
      <c r="M2" s="4">
        <v>8116665605</v>
      </c>
      <c r="N2" s="4" t="s">
        <v>2561</v>
      </c>
    </row>
    <row r="3" spans="1:14" x14ac:dyDescent="0.25">
      <c r="A3" s="8">
        <v>44351</v>
      </c>
      <c r="B3" s="4" t="s">
        <v>1560</v>
      </c>
      <c r="C3" s="4"/>
      <c r="D3" s="4" t="s">
        <v>1937</v>
      </c>
      <c r="E3" s="4">
        <v>5000</v>
      </c>
      <c r="F3" s="4" t="s">
        <v>1678</v>
      </c>
      <c r="G3" s="4" t="s">
        <v>1936</v>
      </c>
      <c r="H3" s="4" t="s">
        <v>2012</v>
      </c>
      <c r="I3" s="4" t="s">
        <v>2088</v>
      </c>
      <c r="J3" s="36"/>
      <c r="K3" s="4"/>
      <c r="L3" s="4">
        <v>22100</v>
      </c>
      <c r="M3" s="4">
        <v>8126016747</v>
      </c>
      <c r="N3" s="4"/>
    </row>
    <row r="4" spans="1:14" x14ac:dyDescent="0.25">
      <c r="A4" s="8">
        <v>44352</v>
      </c>
      <c r="B4" s="4" t="s">
        <v>1563</v>
      </c>
      <c r="C4" s="4"/>
      <c r="D4" s="4" t="s">
        <v>1564</v>
      </c>
      <c r="E4" s="4">
        <v>500</v>
      </c>
      <c r="F4" s="4" t="s">
        <v>1590</v>
      </c>
      <c r="G4" s="4" t="s">
        <v>1742</v>
      </c>
      <c r="H4" s="4" t="s">
        <v>1783</v>
      </c>
      <c r="I4" s="4" t="s">
        <v>1885</v>
      </c>
      <c r="J4" s="4" t="s">
        <v>1916</v>
      </c>
      <c r="K4" s="4"/>
      <c r="L4" s="4">
        <v>11750</v>
      </c>
      <c r="M4" s="4">
        <v>8132401633</v>
      </c>
      <c r="N4" s="4"/>
    </row>
    <row r="5" spans="1:14" x14ac:dyDescent="0.25">
      <c r="A5" s="4" t="s">
        <v>1571</v>
      </c>
      <c r="B5" s="4" t="s">
        <v>1572</v>
      </c>
      <c r="C5" s="4"/>
      <c r="D5" s="4" t="s">
        <v>2022</v>
      </c>
      <c r="E5" s="4">
        <v>2250</v>
      </c>
      <c r="F5" s="4" t="s">
        <v>1712</v>
      </c>
      <c r="G5" s="4" t="s">
        <v>1816</v>
      </c>
      <c r="H5" s="4" t="s">
        <v>1932</v>
      </c>
      <c r="I5" s="4" t="s">
        <v>1935</v>
      </c>
      <c r="J5" s="4" t="s">
        <v>1934</v>
      </c>
      <c r="K5" s="4"/>
      <c r="L5" s="4">
        <v>13600</v>
      </c>
      <c r="M5" s="4"/>
      <c r="N5" s="4"/>
    </row>
    <row r="6" spans="1:14" x14ac:dyDescent="0.25">
      <c r="A6" s="8">
        <v>44357</v>
      </c>
      <c r="B6" s="4" t="s">
        <v>1581</v>
      </c>
      <c r="C6" s="4"/>
      <c r="D6" s="4" t="s">
        <v>995</v>
      </c>
      <c r="E6" s="4">
        <v>4500</v>
      </c>
      <c r="F6" s="4" t="s">
        <v>1688</v>
      </c>
      <c r="G6" s="4" t="s">
        <v>1850</v>
      </c>
      <c r="H6" s="4"/>
      <c r="I6" s="4"/>
      <c r="J6" s="4"/>
      <c r="K6" s="4"/>
      <c r="L6" s="4">
        <v>11250</v>
      </c>
      <c r="M6" s="4">
        <v>8616199735</v>
      </c>
      <c r="N6" s="4"/>
    </row>
    <row r="7" spans="1:14" x14ac:dyDescent="0.25">
      <c r="A7" s="8">
        <v>44358</v>
      </c>
      <c r="B7" s="4" t="s">
        <v>1585</v>
      </c>
      <c r="C7" s="8">
        <v>44436</v>
      </c>
      <c r="D7" s="4" t="s">
        <v>1423</v>
      </c>
      <c r="E7" s="4">
        <v>1980</v>
      </c>
      <c r="F7" s="4" t="s">
        <v>1619</v>
      </c>
      <c r="G7" s="4" t="s">
        <v>1747</v>
      </c>
      <c r="H7" s="4"/>
      <c r="I7" s="4"/>
      <c r="J7" s="4"/>
      <c r="K7" s="4"/>
      <c r="L7" s="4">
        <v>15300</v>
      </c>
      <c r="M7" s="4"/>
      <c r="N7" s="4"/>
    </row>
    <row r="8" spans="1:14" x14ac:dyDescent="0.25">
      <c r="A8" s="5">
        <v>44361</v>
      </c>
      <c r="B8" s="4" t="s">
        <v>1603</v>
      </c>
      <c r="C8" s="4"/>
      <c r="D8" s="4" t="s">
        <v>1713</v>
      </c>
      <c r="E8" s="4">
        <v>2110</v>
      </c>
      <c r="F8" s="4" t="s">
        <v>1699</v>
      </c>
      <c r="G8" s="4" t="s">
        <v>1995</v>
      </c>
      <c r="H8" s="4"/>
      <c r="I8" s="4"/>
      <c r="J8" s="4"/>
      <c r="K8" s="4"/>
      <c r="L8" s="4">
        <v>10550</v>
      </c>
      <c r="M8" s="4"/>
      <c r="N8" s="4"/>
    </row>
    <row r="9" spans="1:14" x14ac:dyDescent="0.25">
      <c r="A9" s="8">
        <v>44366</v>
      </c>
      <c r="B9" s="4" t="s">
        <v>1625</v>
      </c>
      <c r="C9" s="4"/>
      <c r="D9" s="4" t="s">
        <v>1923</v>
      </c>
      <c r="E9" s="4">
        <v>3300</v>
      </c>
      <c r="F9" s="4" t="s">
        <v>1630</v>
      </c>
      <c r="G9" s="4" t="s">
        <v>1705</v>
      </c>
      <c r="H9" s="4" t="s">
        <v>1804</v>
      </c>
      <c r="I9" s="4" t="s">
        <v>1874</v>
      </c>
      <c r="J9" s="4" t="s">
        <v>1922</v>
      </c>
      <c r="K9" s="4" t="s">
        <v>1924</v>
      </c>
      <c r="L9" s="4">
        <v>12450</v>
      </c>
      <c r="M9" s="4">
        <v>8182036038</v>
      </c>
      <c r="N9" s="4"/>
    </row>
    <row r="10" spans="1:14" x14ac:dyDescent="0.25">
      <c r="A10" s="8">
        <v>44366</v>
      </c>
      <c r="B10" s="4" t="s">
        <v>1834</v>
      </c>
      <c r="C10" s="4"/>
      <c r="D10" s="4" t="s">
        <v>1835</v>
      </c>
      <c r="E10" s="4">
        <v>3000</v>
      </c>
      <c r="F10" s="4" t="s">
        <v>1836</v>
      </c>
      <c r="G10" s="4">
        <v>1350</v>
      </c>
      <c r="H10" s="4"/>
      <c r="I10" s="4"/>
      <c r="J10" s="4"/>
      <c r="K10" s="4"/>
      <c r="L10" s="4">
        <v>5850</v>
      </c>
      <c r="M10" s="4"/>
      <c r="N10" s="4"/>
    </row>
    <row r="11" spans="1:14" x14ac:dyDescent="0.25">
      <c r="A11" s="5">
        <v>44366</v>
      </c>
      <c r="B11" s="4" t="s">
        <v>1627</v>
      </c>
      <c r="C11" s="8">
        <v>44527</v>
      </c>
      <c r="D11" s="4" t="s">
        <v>2152</v>
      </c>
      <c r="E11" s="4">
        <v>2070</v>
      </c>
      <c r="F11" s="4" t="s">
        <v>1662</v>
      </c>
      <c r="G11" s="4" t="s">
        <v>1814</v>
      </c>
      <c r="H11" s="4" t="s">
        <v>1915</v>
      </c>
      <c r="I11" s="4" t="s">
        <v>2153</v>
      </c>
      <c r="J11" s="4"/>
      <c r="K11" s="4"/>
      <c r="L11" s="4">
        <v>10350</v>
      </c>
      <c r="M11" s="4"/>
      <c r="N11" s="4"/>
    </row>
    <row r="12" spans="1:14" x14ac:dyDescent="0.25">
      <c r="A12" s="8">
        <v>44371</v>
      </c>
      <c r="B12" s="4" t="s">
        <v>1634</v>
      </c>
      <c r="C12" s="8">
        <v>44597</v>
      </c>
      <c r="D12" s="4" t="s">
        <v>1635</v>
      </c>
      <c r="E12" s="4">
        <v>2140</v>
      </c>
      <c r="F12" s="4" t="s">
        <v>1726</v>
      </c>
      <c r="G12" s="4" t="s">
        <v>1832</v>
      </c>
      <c r="H12" s="4" t="s">
        <v>1945</v>
      </c>
      <c r="I12" s="4" t="s">
        <v>2037</v>
      </c>
      <c r="J12" s="4"/>
      <c r="K12" s="4"/>
      <c r="L12" s="4">
        <v>10700</v>
      </c>
      <c r="M12" s="4">
        <v>9581742510</v>
      </c>
      <c r="N12" s="4"/>
    </row>
    <row r="13" spans="1:14" ht="45" x14ac:dyDescent="0.25">
      <c r="A13" s="5">
        <v>44372</v>
      </c>
      <c r="B13" s="34" t="s">
        <v>1638</v>
      </c>
      <c r="C13" s="4"/>
      <c r="D13" s="40" t="s">
        <v>1773</v>
      </c>
      <c r="E13" s="4">
        <v>3000</v>
      </c>
      <c r="F13" s="4" t="s">
        <v>1680</v>
      </c>
      <c r="G13" s="4" t="s">
        <v>1700</v>
      </c>
      <c r="H13" s="4" t="s">
        <v>1772</v>
      </c>
      <c r="I13" s="4">
        <v>200</v>
      </c>
      <c r="J13" s="4"/>
      <c r="K13" s="4"/>
      <c r="L13" s="4">
        <v>8000</v>
      </c>
      <c r="M13" s="4"/>
      <c r="N13" s="4"/>
    </row>
    <row r="14" spans="1:14" x14ac:dyDescent="0.25">
      <c r="A14" s="26">
        <v>44376</v>
      </c>
      <c r="B14" s="10" t="s">
        <v>1642</v>
      </c>
      <c r="C14" s="10"/>
      <c r="D14" s="10" t="s">
        <v>1643</v>
      </c>
      <c r="E14" s="10">
        <v>3420</v>
      </c>
      <c r="F14" s="10"/>
      <c r="G14" s="10"/>
      <c r="H14" s="10"/>
      <c r="I14" s="10"/>
      <c r="J14" s="10"/>
      <c r="K14" s="10"/>
      <c r="L14" s="10">
        <v>17100</v>
      </c>
      <c r="M14" s="10"/>
      <c r="N14" s="10" t="s">
        <v>2198</v>
      </c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>
      <selection activeCell="C22" sqref="C22"/>
    </sheetView>
  </sheetViews>
  <sheetFormatPr baseColWidth="10"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1"/>
  <sheetViews>
    <sheetView workbookViewId="0"/>
  </sheetViews>
  <sheetFormatPr baseColWidth="10" defaultRowHeight="15" x14ac:dyDescent="0.25"/>
  <cols>
    <col min="4" max="4" width="11.42578125" customWidth="1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 t="s">
        <v>1216</v>
      </c>
      <c r="M1" s="71" t="s">
        <v>1217</v>
      </c>
      <c r="N1" s="71"/>
    </row>
    <row r="2" spans="1:14" x14ac:dyDescent="0.25">
      <c r="A2" s="8">
        <v>44379</v>
      </c>
      <c r="B2" s="4" t="s">
        <v>1661</v>
      </c>
      <c r="C2" s="8">
        <v>44674</v>
      </c>
      <c r="D2" s="4" t="s">
        <v>1298</v>
      </c>
      <c r="E2" s="4">
        <v>2250</v>
      </c>
      <c r="F2" s="4" t="s">
        <v>1751</v>
      </c>
      <c r="G2" s="4" t="s">
        <v>1852</v>
      </c>
      <c r="H2" s="4" t="s">
        <v>1966</v>
      </c>
      <c r="I2" s="4" t="s">
        <v>2197</v>
      </c>
      <c r="J2" s="4" t="s">
        <v>2172</v>
      </c>
      <c r="K2" s="36"/>
      <c r="L2" s="4">
        <v>11250</v>
      </c>
      <c r="M2" s="4"/>
      <c r="N2" s="4"/>
    </row>
    <row r="3" spans="1:14" x14ac:dyDescent="0.25">
      <c r="A3" s="8">
        <v>44380</v>
      </c>
      <c r="B3" s="4" t="s">
        <v>1664</v>
      </c>
      <c r="C3" s="8">
        <v>44527</v>
      </c>
      <c r="D3" s="4" t="s">
        <v>1665</v>
      </c>
      <c r="E3" s="4">
        <v>3000</v>
      </c>
      <c r="F3" s="4" t="s">
        <v>1686</v>
      </c>
      <c r="G3" s="4" t="s">
        <v>1756</v>
      </c>
      <c r="H3" s="4" t="s">
        <v>1859</v>
      </c>
      <c r="I3" s="4"/>
      <c r="J3" s="4"/>
      <c r="K3" s="4"/>
      <c r="L3" s="4">
        <v>14450</v>
      </c>
      <c r="M3" s="4"/>
      <c r="N3" s="4"/>
    </row>
    <row r="4" spans="1:14" x14ac:dyDescent="0.25">
      <c r="A4" s="8">
        <v>44380</v>
      </c>
      <c r="B4" s="4" t="s">
        <v>1667</v>
      </c>
      <c r="C4" s="4"/>
      <c r="D4" s="4" t="s">
        <v>1668</v>
      </c>
      <c r="E4" s="4">
        <v>2000</v>
      </c>
      <c r="F4" s="4" t="s">
        <v>1721</v>
      </c>
      <c r="G4" s="4" t="s">
        <v>1722</v>
      </c>
      <c r="H4" s="4"/>
      <c r="I4" s="4"/>
      <c r="J4" s="4"/>
      <c r="K4" s="4"/>
      <c r="L4" s="4">
        <v>9500</v>
      </c>
      <c r="M4" s="4"/>
      <c r="N4" s="4"/>
    </row>
    <row r="5" spans="1:14" x14ac:dyDescent="0.25">
      <c r="A5" s="8">
        <v>44380</v>
      </c>
      <c r="B5" s="4" t="s">
        <v>1669</v>
      </c>
      <c r="C5" s="4"/>
      <c r="D5" s="4" t="s">
        <v>2182</v>
      </c>
      <c r="E5" s="4">
        <v>2250</v>
      </c>
      <c r="F5" s="4" t="s">
        <v>1766</v>
      </c>
      <c r="G5" s="4" t="s">
        <v>1856</v>
      </c>
      <c r="H5" s="4" t="s">
        <v>1971</v>
      </c>
      <c r="I5" s="4" t="s">
        <v>2020</v>
      </c>
      <c r="J5" s="4"/>
      <c r="K5" s="4"/>
      <c r="L5" s="4">
        <v>12050</v>
      </c>
      <c r="M5" s="4"/>
      <c r="N5" s="4"/>
    </row>
    <row r="6" spans="1:14" x14ac:dyDescent="0.25">
      <c r="A6" s="8">
        <v>44380</v>
      </c>
      <c r="B6" s="4" t="s">
        <v>1714</v>
      </c>
      <c r="C6" s="8">
        <v>44512</v>
      </c>
      <c r="D6" s="4" t="s">
        <v>2083</v>
      </c>
      <c r="E6" s="4">
        <v>1890</v>
      </c>
      <c r="F6" s="4" t="s">
        <v>1767</v>
      </c>
      <c r="G6" s="4" t="s">
        <v>1858</v>
      </c>
      <c r="H6" s="34" t="s">
        <v>2011</v>
      </c>
      <c r="I6" s="36" t="s">
        <v>2084</v>
      </c>
      <c r="J6" s="4"/>
      <c r="K6" s="36"/>
      <c r="L6" s="4">
        <v>10850</v>
      </c>
      <c r="M6" s="4">
        <v>8184650418</v>
      </c>
      <c r="N6" s="4"/>
    </row>
    <row r="7" spans="1:14" x14ac:dyDescent="0.25">
      <c r="A7" s="8">
        <v>44387</v>
      </c>
      <c r="B7" s="4" t="s">
        <v>1790</v>
      </c>
      <c r="C7" s="4"/>
      <c r="D7" s="4" t="s">
        <v>2014</v>
      </c>
      <c r="E7" s="4">
        <v>4640</v>
      </c>
      <c r="F7" s="4" t="s">
        <v>1791</v>
      </c>
      <c r="G7" s="4">
        <v>3730</v>
      </c>
      <c r="H7" s="4"/>
      <c r="I7" s="4"/>
      <c r="J7" s="4"/>
      <c r="K7" s="4"/>
      <c r="L7" s="4">
        <v>11750</v>
      </c>
      <c r="M7" s="4"/>
      <c r="N7" s="4"/>
    </row>
    <row r="8" spans="1:14" x14ac:dyDescent="0.25">
      <c r="A8" s="8">
        <v>44387</v>
      </c>
      <c r="B8" s="4" t="s">
        <v>1690</v>
      </c>
      <c r="C8" s="4"/>
      <c r="D8" s="4" t="s">
        <v>2078</v>
      </c>
      <c r="E8" s="4">
        <v>3000</v>
      </c>
      <c r="F8" s="4" t="s">
        <v>1976</v>
      </c>
      <c r="G8" s="4" t="s">
        <v>2079</v>
      </c>
      <c r="H8" s="4" t="s">
        <v>2167</v>
      </c>
      <c r="I8" s="4"/>
      <c r="J8" s="4"/>
      <c r="K8" s="4"/>
      <c r="L8" s="4">
        <v>15800</v>
      </c>
      <c r="M8" s="4">
        <v>8118590527</v>
      </c>
      <c r="N8" s="4"/>
    </row>
    <row r="9" spans="1:14" x14ac:dyDescent="0.25">
      <c r="A9" s="8">
        <v>44387</v>
      </c>
      <c r="B9" s="4" t="s">
        <v>1691</v>
      </c>
      <c r="C9" s="4"/>
      <c r="D9" s="4" t="s">
        <v>1961</v>
      </c>
      <c r="E9" s="4">
        <v>1400</v>
      </c>
      <c r="F9" s="4" t="s">
        <v>1744</v>
      </c>
      <c r="G9" s="4" t="s">
        <v>1851</v>
      </c>
      <c r="H9" s="4" t="s">
        <v>1920</v>
      </c>
      <c r="I9" s="4" t="s">
        <v>2003</v>
      </c>
      <c r="J9" s="4" t="s">
        <v>2114</v>
      </c>
      <c r="K9" s="36"/>
      <c r="L9" s="4">
        <v>12650</v>
      </c>
      <c r="M9" s="4"/>
      <c r="N9" s="4"/>
    </row>
    <row r="10" spans="1:14" x14ac:dyDescent="0.25">
      <c r="A10" s="8">
        <v>44391</v>
      </c>
      <c r="B10" s="4" t="s">
        <v>1812</v>
      </c>
      <c r="C10" s="8">
        <v>44547</v>
      </c>
      <c r="D10" s="4" t="s">
        <v>1696</v>
      </c>
      <c r="E10" s="4">
        <v>2500</v>
      </c>
      <c r="F10" s="4" t="s">
        <v>1813</v>
      </c>
      <c r="G10" s="4" t="s">
        <v>1887</v>
      </c>
      <c r="H10" s="4" t="s">
        <v>1917</v>
      </c>
      <c r="I10" s="4" t="s">
        <v>2141</v>
      </c>
      <c r="J10" s="4"/>
      <c r="K10" s="4"/>
      <c r="L10" s="4">
        <v>11250</v>
      </c>
      <c r="M10" s="4"/>
      <c r="N10" s="4"/>
    </row>
    <row r="11" spans="1:14" x14ac:dyDescent="0.25">
      <c r="A11" s="8">
        <v>44394</v>
      </c>
      <c r="B11" s="4" t="s">
        <v>1706</v>
      </c>
      <c r="C11" s="4"/>
      <c r="D11" s="4" t="s">
        <v>1707</v>
      </c>
      <c r="E11" s="4">
        <v>2810</v>
      </c>
      <c r="F11" s="4" t="s">
        <v>1817</v>
      </c>
      <c r="G11" s="4" t="s">
        <v>1898</v>
      </c>
      <c r="H11" s="4" t="s">
        <v>1925</v>
      </c>
      <c r="I11" s="5" t="s">
        <v>2138</v>
      </c>
      <c r="J11" s="36"/>
      <c r="K11" s="4"/>
      <c r="L11" s="4">
        <v>14050</v>
      </c>
      <c r="M11" s="4"/>
      <c r="N11" s="4"/>
    </row>
    <row r="12" spans="1:14" x14ac:dyDescent="0.25">
      <c r="A12" s="8">
        <v>44394</v>
      </c>
      <c r="B12" s="4" t="s">
        <v>1708</v>
      </c>
      <c r="C12" s="4"/>
      <c r="D12" s="4" t="s">
        <v>2158</v>
      </c>
      <c r="E12" s="4">
        <v>1980</v>
      </c>
      <c r="F12" s="4" t="s">
        <v>1826</v>
      </c>
      <c r="G12" s="4" t="s">
        <v>2026</v>
      </c>
      <c r="H12" s="4" t="s">
        <v>2156</v>
      </c>
      <c r="I12" s="4" t="s">
        <v>2157</v>
      </c>
      <c r="J12" s="4"/>
      <c r="K12" s="4"/>
      <c r="L12" s="4">
        <v>12500</v>
      </c>
      <c r="M12" s="4">
        <v>8112853022</v>
      </c>
      <c r="N12" s="4"/>
    </row>
    <row r="13" spans="1:14" x14ac:dyDescent="0.25">
      <c r="A13" s="8">
        <v>44396</v>
      </c>
      <c r="B13" s="4" t="s">
        <v>1719</v>
      </c>
      <c r="C13" s="4"/>
      <c r="D13" s="4" t="s">
        <v>1949</v>
      </c>
      <c r="E13" s="4">
        <v>1100</v>
      </c>
      <c r="F13" s="4" t="s">
        <v>1820</v>
      </c>
      <c r="G13" s="4" t="s">
        <v>1821</v>
      </c>
      <c r="H13" s="4" t="s">
        <v>2109</v>
      </c>
      <c r="I13" s="4" t="s">
        <v>2091</v>
      </c>
      <c r="J13" s="4"/>
      <c r="K13" s="4"/>
      <c r="L13" s="4">
        <v>11250</v>
      </c>
      <c r="M13" s="4">
        <v>8120517373</v>
      </c>
      <c r="N13" s="4"/>
    </row>
    <row r="14" spans="1:14" x14ac:dyDescent="0.25">
      <c r="A14" s="8">
        <v>44401</v>
      </c>
      <c r="B14" s="4" t="s">
        <v>2434</v>
      </c>
      <c r="C14" s="4"/>
      <c r="D14" s="4" t="s">
        <v>186</v>
      </c>
      <c r="E14" s="4">
        <v>2000</v>
      </c>
      <c r="F14" s="4" t="s">
        <v>2519</v>
      </c>
      <c r="G14" s="4"/>
      <c r="H14" s="4"/>
      <c r="I14" s="4"/>
      <c r="J14" s="4"/>
      <c r="K14" s="4"/>
      <c r="L14" s="4">
        <v>4000</v>
      </c>
      <c r="M14" s="4">
        <v>8128953374</v>
      </c>
      <c r="N14" s="4"/>
    </row>
    <row r="15" spans="1:14" x14ac:dyDescent="0.25">
      <c r="A15" s="8">
        <v>44404</v>
      </c>
      <c r="B15" s="4" t="s">
        <v>1746</v>
      </c>
      <c r="C15" s="4"/>
      <c r="D15" s="4" t="s">
        <v>1798</v>
      </c>
      <c r="E15" s="4">
        <v>2000</v>
      </c>
      <c r="F15" s="4" t="s">
        <v>1749</v>
      </c>
      <c r="G15" s="4" t="s">
        <v>1799</v>
      </c>
      <c r="H15" s="4"/>
      <c r="I15" s="4" t="s">
        <v>1888</v>
      </c>
      <c r="J15" s="4" t="s">
        <v>2062</v>
      </c>
      <c r="K15" s="4" t="s">
        <v>2145</v>
      </c>
      <c r="L15" s="4">
        <v>20200</v>
      </c>
      <c r="M15" s="4"/>
      <c r="N15" s="4"/>
    </row>
    <row r="16" spans="1:14" x14ac:dyDescent="0.25">
      <c r="A16" s="8">
        <v>44408</v>
      </c>
      <c r="B16" s="4" t="s">
        <v>1753</v>
      </c>
      <c r="C16" s="4"/>
      <c r="D16" s="4" t="s">
        <v>2609</v>
      </c>
      <c r="E16" s="4">
        <v>4000</v>
      </c>
      <c r="F16" s="4" t="s">
        <v>1875</v>
      </c>
      <c r="G16" s="4" t="s">
        <v>1972</v>
      </c>
      <c r="H16" s="4"/>
      <c r="I16" s="4" t="s">
        <v>2016</v>
      </c>
      <c r="J16" s="4" t="s">
        <v>2176</v>
      </c>
      <c r="K16" s="4" t="s">
        <v>2641</v>
      </c>
      <c r="L16" s="4">
        <v>17750</v>
      </c>
      <c r="M16" s="4">
        <v>8121240217</v>
      </c>
      <c r="N16" s="4"/>
    </row>
    <row r="17" spans="1:14" x14ac:dyDescent="0.25">
      <c r="A17" s="8">
        <v>44408</v>
      </c>
      <c r="B17" s="4" t="s">
        <v>1754</v>
      </c>
      <c r="C17" s="4"/>
      <c r="D17" s="4" t="s">
        <v>1927</v>
      </c>
      <c r="E17" s="4">
        <v>1300</v>
      </c>
      <c r="F17" s="4" t="s">
        <v>1759</v>
      </c>
      <c r="G17" s="4" t="s">
        <v>1844</v>
      </c>
      <c r="H17" s="4" t="s">
        <v>1926</v>
      </c>
      <c r="I17" s="4" t="s">
        <v>2140</v>
      </c>
      <c r="J17" s="34" t="s">
        <v>2196</v>
      </c>
      <c r="K17" s="4"/>
      <c r="L17" s="4">
        <v>12000</v>
      </c>
      <c r="M17" s="4">
        <v>8994131311</v>
      </c>
      <c r="N17" s="4"/>
    </row>
    <row r="18" spans="1:14" x14ac:dyDescent="0.25">
      <c r="A18" s="8">
        <v>44408</v>
      </c>
      <c r="B18" s="4" t="s">
        <v>1758</v>
      </c>
      <c r="C18" s="8">
        <v>44625</v>
      </c>
      <c r="D18" s="4" t="s">
        <v>1757</v>
      </c>
      <c r="E18" s="4">
        <v>3210</v>
      </c>
      <c r="F18" s="4" t="s">
        <v>1853</v>
      </c>
      <c r="G18" s="4" t="s">
        <v>1975</v>
      </c>
      <c r="H18" s="4"/>
      <c r="I18" s="4" t="s">
        <v>2059</v>
      </c>
      <c r="J18" s="4" t="s">
        <v>2171</v>
      </c>
      <c r="K18" s="4"/>
      <c r="L18" s="4">
        <v>16050</v>
      </c>
      <c r="M18" s="4">
        <v>8132363663</v>
      </c>
      <c r="N18" s="4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20"/>
  <sheetViews>
    <sheetView workbookViewId="0">
      <selection activeCell="D9" sqref="D9"/>
    </sheetView>
  </sheetViews>
  <sheetFormatPr baseColWidth="10" defaultRowHeight="15" x14ac:dyDescent="0.25"/>
  <cols>
    <col min="2" max="2" width="25" customWidth="1"/>
    <col min="3" max="3" width="15.85546875" customWidth="1"/>
    <col min="4" max="4" width="23.140625" customWidth="1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 t="s">
        <v>1216</v>
      </c>
      <c r="M1" s="71" t="s">
        <v>1217</v>
      </c>
      <c r="N1" s="71"/>
    </row>
    <row r="2" spans="1:14" x14ac:dyDescent="0.25">
      <c r="A2" s="8" t="s">
        <v>2081</v>
      </c>
      <c r="B2" s="4" t="s">
        <v>2039</v>
      </c>
      <c r="C2" s="8">
        <v>44534</v>
      </c>
      <c r="D2" s="4" t="s">
        <v>2015</v>
      </c>
      <c r="E2" s="4">
        <v>2250</v>
      </c>
      <c r="F2" s="4" t="s">
        <v>1840</v>
      </c>
      <c r="G2" s="4" t="s">
        <v>1971</v>
      </c>
      <c r="H2" s="4" t="s">
        <v>2040</v>
      </c>
      <c r="I2" s="4" t="s">
        <v>2080</v>
      </c>
      <c r="J2" s="4"/>
      <c r="K2" s="4"/>
      <c r="L2" s="4">
        <v>12050</v>
      </c>
      <c r="M2" s="4">
        <v>8128856508</v>
      </c>
      <c r="N2" s="4" t="s">
        <v>2054</v>
      </c>
    </row>
    <row r="3" spans="1:14" x14ac:dyDescent="0.25">
      <c r="A3" s="8">
        <v>44410</v>
      </c>
      <c r="B3" s="4" t="s">
        <v>1762</v>
      </c>
      <c r="C3" s="4"/>
      <c r="D3" s="4" t="s">
        <v>1869</v>
      </c>
      <c r="E3" s="4">
        <v>1530</v>
      </c>
      <c r="F3" s="4">
        <v>1530</v>
      </c>
      <c r="G3" s="4" t="s">
        <v>1870</v>
      </c>
      <c r="H3" s="4"/>
      <c r="I3" s="4"/>
      <c r="J3" s="4"/>
      <c r="K3" s="4"/>
      <c r="L3" s="4">
        <v>9400</v>
      </c>
      <c r="M3" s="4"/>
      <c r="N3" s="4"/>
    </row>
    <row r="4" spans="1:14" x14ac:dyDescent="0.25">
      <c r="A4" s="8">
        <v>44415</v>
      </c>
      <c r="B4" s="4" t="s">
        <v>1774</v>
      </c>
      <c r="C4" s="4"/>
      <c r="D4" s="4" t="s">
        <v>723</v>
      </c>
      <c r="E4" s="4">
        <v>6720</v>
      </c>
      <c r="F4" s="4" t="s">
        <v>1911</v>
      </c>
      <c r="G4" s="4" t="s">
        <v>2033</v>
      </c>
      <c r="H4" s="4"/>
      <c r="I4" s="4"/>
      <c r="J4" s="4"/>
      <c r="K4" s="4"/>
      <c r="L4" s="4">
        <v>16800</v>
      </c>
      <c r="M4" s="4"/>
      <c r="N4" s="4" t="s">
        <v>1775</v>
      </c>
    </row>
    <row r="5" spans="1:14" ht="20.25" customHeight="1" x14ac:dyDescent="0.25">
      <c r="A5" s="26">
        <v>44415</v>
      </c>
      <c r="B5" s="10" t="s">
        <v>2113</v>
      </c>
      <c r="C5" s="10"/>
      <c r="D5" s="46" t="s">
        <v>2599</v>
      </c>
      <c r="E5" s="10">
        <v>3000</v>
      </c>
      <c r="F5" s="10"/>
      <c r="G5" s="10"/>
      <c r="H5" s="10"/>
      <c r="I5" s="10"/>
      <c r="J5" s="10"/>
      <c r="K5" s="10"/>
      <c r="L5" s="10">
        <v>18500</v>
      </c>
      <c r="M5" s="10">
        <v>8991606133</v>
      </c>
      <c r="N5" s="46"/>
    </row>
    <row r="6" spans="1:14" x14ac:dyDescent="0.25">
      <c r="A6" s="8">
        <v>44418</v>
      </c>
      <c r="B6" s="4" t="s">
        <v>1801</v>
      </c>
      <c r="C6" s="4"/>
      <c r="D6" s="4" t="s">
        <v>2122</v>
      </c>
      <c r="E6" s="4">
        <v>2250</v>
      </c>
      <c r="F6" s="4" t="s">
        <v>1881</v>
      </c>
      <c r="G6" s="4" t="s">
        <v>1984</v>
      </c>
      <c r="H6" s="4" t="s">
        <v>2098</v>
      </c>
      <c r="I6" s="4" t="s">
        <v>2281</v>
      </c>
      <c r="J6" s="4"/>
      <c r="K6" s="4"/>
      <c r="L6" s="4">
        <v>13250</v>
      </c>
      <c r="M6" s="4"/>
      <c r="N6" s="4"/>
    </row>
    <row r="7" spans="1:14" x14ac:dyDescent="0.25">
      <c r="A7" s="8">
        <v>44422</v>
      </c>
      <c r="B7" s="4" t="s">
        <v>1810</v>
      </c>
      <c r="C7" s="4"/>
      <c r="D7" s="4" t="s">
        <v>1811</v>
      </c>
      <c r="E7" s="4">
        <v>3560</v>
      </c>
      <c r="F7" s="4" t="s">
        <v>1951</v>
      </c>
      <c r="G7" s="4" t="s">
        <v>2058</v>
      </c>
      <c r="H7" s="4" t="s">
        <v>2218</v>
      </c>
      <c r="I7" s="4" t="s">
        <v>2271</v>
      </c>
      <c r="J7" s="4"/>
      <c r="K7" s="4"/>
      <c r="L7" s="4">
        <v>17800</v>
      </c>
      <c r="M7" s="4"/>
      <c r="N7" s="4"/>
    </row>
    <row r="8" spans="1:14" x14ac:dyDescent="0.25">
      <c r="A8" s="8">
        <v>44429</v>
      </c>
      <c r="B8" s="4" t="s">
        <v>1827</v>
      </c>
      <c r="C8" s="5">
        <v>44521</v>
      </c>
      <c r="D8" s="4" t="s">
        <v>1274</v>
      </c>
      <c r="E8" s="4">
        <v>2250</v>
      </c>
      <c r="F8" s="4" t="s">
        <v>1840</v>
      </c>
      <c r="G8" s="4" t="s">
        <v>2048</v>
      </c>
      <c r="H8" s="4"/>
      <c r="I8" s="4"/>
      <c r="J8" s="4"/>
      <c r="K8" s="4"/>
      <c r="L8" s="4">
        <v>11250</v>
      </c>
      <c r="M8" s="4">
        <v>8182021242</v>
      </c>
      <c r="N8" s="4"/>
    </row>
    <row r="9" spans="1:14" x14ac:dyDescent="0.25">
      <c r="A9" s="8">
        <v>44436</v>
      </c>
      <c r="B9" s="4" t="s">
        <v>1839</v>
      </c>
      <c r="C9" s="4"/>
      <c r="D9" s="4" t="s">
        <v>2643</v>
      </c>
      <c r="E9" s="4">
        <v>3060</v>
      </c>
      <c r="F9" s="4" t="s">
        <v>1981</v>
      </c>
      <c r="G9" s="4" t="s">
        <v>2200</v>
      </c>
      <c r="H9" s="4" t="s">
        <v>2292</v>
      </c>
      <c r="I9" s="4" t="s">
        <v>2527</v>
      </c>
      <c r="J9" s="4" t="s">
        <v>2644</v>
      </c>
      <c r="K9" s="4">
        <v>1800</v>
      </c>
      <c r="L9" s="4">
        <v>21300</v>
      </c>
      <c r="M9" s="4"/>
      <c r="N9" s="4"/>
    </row>
    <row r="10" spans="1:14" x14ac:dyDescent="0.25">
      <c r="A10" s="8">
        <v>44436</v>
      </c>
      <c r="B10" s="4" t="s">
        <v>1841</v>
      </c>
      <c r="C10" s="4"/>
      <c r="D10" s="4" t="s">
        <v>1274</v>
      </c>
      <c r="E10" s="4">
        <v>4500</v>
      </c>
      <c r="F10" s="4" t="s">
        <v>1919</v>
      </c>
      <c r="G10" s="4" t="s">
        <v>2030</v>
      </c>
      <c r="H10" s="4" t="s">
        <v>2099</v>
      </c>
      <c r="I10" s="4"/>
      <c r="J10" s="4"/>
      <c r="K10" s="4"/>
      <c r="L10" s="4">
        <v>11250</v>
      </c>
      <c r="M10" s="4">
        <v>8124023217</v>
      </c>
      <c r="N10" s="4"/>
    </row>
    <row r="11" spans="1:14" x14ac:dyDescent="0.25">
      <c r="A11" s="8">
        <v>44436</v>
      </c>
      <c r="B11" s="4" t="s">
        <v>1842</v>
      </c>
      <c r="C11" s="4"/>
      <c r="D11" s="4" t="s">
        <v>1843</v>
      </c>
      <c r="E11" s="4">
        <v>1890</v>
      </c>
      <c r="F11" s="5" t="s">
        <v>1969</v>
      </c>
      <c r="G11" s="5" t="s">
        <v>2057</v>
      </c>
      <c r="H11" s="5" t="s">
        <v>2180</v>
      </c>
      <c r="I11" s="36">
        <v>1890</v>
      </c>
      <c r="J11" s="36"/>
      <c r="K11" s="36"/>
      <c r="L11" s="4">
        <v>9450</v>
      </c>
      <c r="M11" s="4"/>
      <c r="N11" s="4"/>
    </row>
    <row r="12" spans="1:14" x14ac:dyDescent="0.25">
      <c r="A12" s="8">
        <v>44436</v>
      </c>
      <c r="B12" s="4" t="s">
        <v>2582</v>
      </c>
      <c r="C12" s="4"/>
      <c r="D12" s="4" t="s">
        <v>2583</v>
      </c>
      <c r="E12" s="4">
        <v>3060</v>
      </c>
      <c r="F12" s="4" t="s">
        <v>1950</v>
      </c>
      <c r="G12" s="4" t="s">
        <v>2013</v>
      </c>
      <c r="H12" s="4" t="s">
        <v>2159</v>
      </c>
      <c r="I12" s="4" t="s">
        <v>2238</v>
      </c>
      <c r="J12" s="4" t="s">
        <v>2619</v>
      </c>
      <c r="K12" s="4"/>
      <c r="L12" s="4">
        <v>16950</v>
      </c>
      <c r="M12" s="4"/>
      <c r="N12" s="4"/>
    </row>
    <row r="13" spans="1:14" x14ac:dyDescent="0.25">
      <c r="A13" s="8">
        <v>44436</v>
      </c>
      <c r="B13" s="4" t="s">
        <v>1845</v>
      </c>
      <c r="C13" s="4"/>
      <c r="D13" s="4" t="s">
        <v>1846</v>
      </c>
      <c r="E13" s="4">
        <v>4600</v>
      </c>
      <c r="F13" s="4">
        <v>900</v>
      </c>
      <c r="G13" s="4" t="s">
        <v>1908</v>
      </c>
      <c r="H13" s="4" t="s">
        <v>2027</v>
      </c>
      <c r="I13" s="4"/>
      <c r="J13" s="4"/>
      <c r="K13" s="4"/>
      <c r="L13" s="4">
        <v>13300</v>
      </c>
      <c r="M13" s="4"/>
      <c r="N13" s="4"/>
    </row>
    <row r="14" spans="1:14" x14ac:dyDescent="0.25">
      <c r="A14" s="8">
        <v>44436</v>
      </c>
      <c r="B14" s="4" t="s">
        <v>1849</v>
      </c>
      <c r="C14" s="8">
        <v>44556</v>
      </c>
      <c r="D14" s="4" t="s">
        <v>1947</v>
      </c>
      <c r="E14" s="4">
        <v>4500</v>
      </c>
      <c r="F14" s="4" t="s">
        <v>1948</v>
      </c>
      <c r="G14" s="4" t="s">
        <v>2136</v>
      </c>
      <c r="H14" s="4" t="s">
        <v>2193</v>
      </c>
      <c r="I14" s="4"/>
      <c r="J14" s="4"/>
      <c r="K14" s="4"/>
      <c r="L14" s="4">
        <v>16450</v>
      </c>
      <c r="M14" s="4"/>
      <c r="N14" s="4"/>
    </row>
    <row r="15" spans="1:14" x14ac:dyDescent="0.25">
      <c r="A15" s="8">
        <v>44438</v>
      </c>
      <c r="B15" s="4" t="s">
        <v>1873</v>
      </c>
      <c r="C15" s="8">
        <v>44660</v>
      </c>
      <c r="D15" s="4" t="s">
        <v>457</v>
      </c>
      <c r="E15" s="4">
        <v>2070</v>
      </c>
      <c r="F15" s="4" t="s">
        <v>1980</v>
      </c>
      <c r="G15" s="4" t="s">
        <v>2056</v>
      </c>
      <c r="H15" s="4" t="s">
        <v>2201</v>
      </c>
      <c r="I15" s="4" t="s">
        <v>2247</v>
      </c>
      <c r="J15" s="4" t="s">
        <v>2247</v>
      </c>
      <c r="K15" s="4"/>
      <c r="L15" s="4">
        <v>10350</v>
      </c>
      <c r="M15" s="4">
        <v>8132525032</v>
      </c>
      <c r="N15" s="4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0"/>
  <sheetViews>
    <sheetView workbookViewId="0"/>
  </sheetViews>
  <sheetFormatPr baseColWidth="10" defaultRowHeight="15" x14ac:dyDescent="0.25"/>
  <cols>
    <col min="2" max="2" width="22" customWidth="1"/>
    <col min="4" max="4" width="32.42578125" customWidth="1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 t="s">
        <v>1216</v>
      </c>
      <c r="L1" s="71" t="s">
        <v>1217</v>
      </c>
      <c r="M1" s="71"/>
    </row>
    <row r="2" spans="1:14" x14ac:dyDescent="0.25">
      <c r="A2" s="8">
        <v>44443</v>
      </c>
      <c r="B2" s="4" t="s">
        <v>1863</v>
      </c>
      <c r="C2" s="4"/>
      <c r="D2" s="4" t="s">
        <v>1864</v>
      </c>
      <c r="E2" s="4">
        <v>3710</v>
      </c>
      <c r="F2" s="4" t="s">
        <v>2179</v>
      </c>
      <c r="G2" s="4" t="s">
        <v>2053</v>
      </c>
      <c r="H2" s="4" t="s">
        <v>2178</v>
      </c>
      <c r="I2" s="4" t="s">
        <v>2243</v>
      </c>
      <c r="J2" s="4"/>
      <c r="K2" s="4">
        <v>15950</v>
      </c>
      <c r="L2" s="4"/>
      <c r="M2" s="4" t="s">
        <v>983</v>
      </c>
    </row>
    <row r="3" spans="1:14" ht="30" x14ac:dyDescent="0.25">
      <c r="A3" s="8">
        <v>44446</v>
      </c>
      <c r="B3" s="4" t="s">
        <v>1880</v>
      </c>
      <c r="C3" s="4"/>
      <c r="D3" s="40" t="s">
        <v>2035</v>
      </c>
      <c r="E3" s="4">
        <v>6120</v>
      </c>
      <c r="F3" s="4" t="s">
        <v>1931</v>
      </c>
      <c r="G3" s="4" t="s">
        <v>2036</v>
      </c>
      <c r="H3" s="4" t="s">
        <v>2169</v>
      </c>
      <c r="I3" s="4" t="s">
        <v>2211</v>
      </c>
      <c r="J3" s="4"/>
      <c r="K3" s="4">
        <v>18050</v>
      </c>
      <c r="L3" s="4"/>
      <c r="M3" s="4"/>
    </row>
    <row r="4" spans="1:14" x14ac:dyDescent="0.25">
      <c r="A4" s="5">
        <v>44450</v>
      </c>
      <c r="B4" s="4" t="s">
        <v>1905</v>
      </c>
      <c r="C4" s="8">
        <v>44520</v>
      </c>
      <c r="D4" s="4" t="s">
        <v>2102</v>
      </c>
      <c r="E4" s="4">
        <v>7000</v>
      </c>
      <c r="F4" s="4" t="s">
        <v>2029</v>
      </c>
      <c r="G4" s="4">
        <v>2050</v>
      </c>
      <c r="H4" s="4"/>
      <c r="I4" s="4"/>
      <c r="J4" s="4"/>
      <c r="K4" s="4">
        <v>11450</v>
      </c>
      <c r="L4" s="4"/>
      <c r="M4" s="4"/>
    </row>
    <row r="5" spans="1:14" x14ac:dyDescent="0.25">
      <c r="A5" s="5">
        <v>44450</v>
      </c>
      <c r="B5" s="4" t="s">
        <v>1992</v>
      </c>
      <c r="C5" s="8">
        <v>44576</v>
      </c>
      <c r="D5" s="4" t="s">
        <v>2101</v>
      </c>
      <c r="E5" s="4">
        <v>1940</v>
      </c>
      <c r="F5" s="4" t="s">
        <v>1993</v>
      </c>
      <c r="G5" s="4" t="s">
        <v>2100</v>
      </c>
      <c r="H5" s="4" t="s">
        <v>2166</v>
      </c>
      <c r="I5" s="4" t="s">
        <v>2185</v>
      </c>
      <c r="J5" s="4"/>
      <c r="K5" s="4">
        <v>10400</v>
      </c>
      <c r="L5" s="4"/>
      <c r="M5" s="4"/>
    </row>
    <row r="6" spans="1:14" x14ac:dyDescent="0.25">
      <c r="A6" s="5">
        <v>44452</v>
      </c>
      <c r="B6" s="4" t="s">
        <v>1889</v>
      </c>
      <c r="C6" s="4"/>
      <c r="D6" s="4" t="s">
        <v>1890</v>
      </c>
      <c r="E6" s="4">
        <v>4600</v>
      </c>
      <c r="F6" s="4" t="s">
        <v>2004</v>
      </c>
      <c r="G6" s="4" t="s">
        <v>2112</v>
      </c>
      <c r="H6" s="4"/>
      <c r="I6" s="4"/>
      <c r="J6" s="4"/>
      <c r="K6" s="4">
        <v>11650</v>
      </c>
      <c r="L6" s="4"/>
      <c r="M6" s="4"/>
      <c r="N6" t="s">
        <v>1891</v>
      </c>
    </row>
    <row r="7" spans="1:14" x14ac:dyDescent="0.25">
      <c r="A7" s="5">
        <v>44453</v>
      </c>
      <c r="B7" s="4" t="s">
        <v>1910</v>
      </c>
      <c r="C7" s="4"/>
      <c r="D7" s="4" t="s">
        <v>2001</v>
      </c>
      <c r="E7" s="4">
        <v>7000</v>
      </c>
      <c r="F7" s="4" t="s">
        <v>2000</v>
      </c>
      <c r="G7" s="4" t="s">
        <v>2002</v>
      </c>
      <c r="H7" s="4"/>
      <c r="I7" s="4"/>
      <c r="J7" s="4"/>
      <c r="K7" s="4">
        <v>18900</v>
      </c>
      <c r="L7" s="4"/>
      <c r="M7" s="4"/>
      <c r="N7" t="s">
        <v>1891</v>
      </c>
    </row>
    <row r="8" spans="1:14" x14ac:dyDescent="0.25">
      <c r="A8" s="5">
        <v>44455</v>
      </c>
      <c r="B8" s="4" t="s">
        <v>1893</v>
      </c>
      <c r="C8" s="5">
        <v>44401</v>
      </c>
      <c r="D8" s="4" t="s">
        <v>1894</v>
      </c>
      <c r="E8" s="4">
        <v>2430</v>
      </c>
      <c r="F8" s="4" t="s">
        <v>1928</v>
      </c>
      <c r="G8" s="4" t="s">
        <v>2108</v>
      </c>
      <c r="H8" s="4" t="s">
        <v>2186</v>
      </c>
      <c r="I8" s="4" t="s">
        <v>2299</v>
      </c>
      <c r="J8" s="4"/>
      <c r="K8" s="4">
        <v>12150</v>
      </c>
      <c r="L8" s="4"/>
      <c r="M8" s="4"/>
      <c r="N8" t="s">
        <v>1891</v>
      </c>
    </row>
    <row r="9" spans="1:14" x14ac:dyDescent="0.25">
      <c r="A9" s="5">
        <v>44455</v>
      </c>
      <c r="B9" s="4" t="s">
        <v>1895</v>
      </c>
      <c r="C9" s="4"/>
      <c r="D9" s="4" t="s">
        <v>1118</v>
      </c>
      <c r="E9" s="4">
        <v>2250</v>
      </c>
      <c r="F9" s="4" t="s">
        <v>2008</v>
      </c>
      <c r="G9" s="4" t="s">
        <v>2115</v>
      </c>
      <c r="H9" s="4" t="s">
        <v>2304</v>
      </c>
      <c r="I9" s="4" t="s">
        <v>2305</v>
      </c>
      <c r="J9" s="4"/>
      <c r="K9" s="4">
        <v>11250</v>
      </c>
      <c r="L9" s="4"/>
      <c r="M9" s="4"/>
      <c r="N9" t="s">
        <v>1891</v>
      </c>
    </row>
    <row r="10" spans="1:14" x14ac:dyDescent="0.25">
      <c r="A10" s="5">
        <v>44455</v>
      </c>
      <c r="B10" s="4" t="s">
        <v>1896</v>
      </c>
      <c r="C10" s="4"/>
      <c r="D10" s="4" t="s">
        <v>1897</v>
      </c>
      <c r="E10" s="4">
        <v>2500</v>
      </c>
      <c r="F10" s="4" t="s">
        <v>2005</v>
      </c>
      <c r="G10" s="5" t="s">
        <v>2202</v>
      </c>
      <c r="H10" s="4" t="s">
        <v>2233</v>
      </c>
      <c r="I10" s="4" t="s">
        <v>2311</v>
      </c>
      <c r="J10" s="4"/>
      <c r="K10" s="4">
        <v>12500</v>
      </c>
      <c r="L10" s="4"/>
      <c r="M10" s="4"/>
      <c r="N10" t="s">
        <v>1891</v>
      </c>
    </row>
    <row r="11" spans="1:14" x14ac:dyDescent="0.25">
      <c r="A11" s="5">
        <v>44457</v>
      </c>
      <c r="B11" s="4" t="s">
        <v>1902</v>
      </c>
      <c r="C11" s="4"/>
      <c r="D11" s="4" t="s">
        <v>1150</v>
      </c>
      <c r="E11" s="4">
        <v>10000</v>
      </c>
      <c r="F11" s="4" t="s">
        <v>1942</v>
      </c>
      <c r="G11" s="4" t="s">
        <v>2270</v>
      </c>
      <c r="H11" s="4"/>
      <c r="I11" s="4"/>
      <c r="J11" s="4"/>
      <c r="K11" s="4">
        <v>17000</v>
      </c>
      <c r="L11" s="4"/>
      <c r="M11" s="4"/>
      <c r="N11" t="s">
        <v>1891</v>
      </c>
    </row>
    <row r="12" spans="1:14" x14ac:dyDescent="0.25">
      <c r="A12" s="5">
        <v>44457</v>
      </c>
      <c r="B12" s="4" t="s">
        <v>1900</v>
      </c>
      <c r="C12" s="4"/>
      <c r="D12" s="4" t="s">
        <v>1939</v>
      </c>
      <c r="E12" s="4">
        <v>7400</v>
      </c>
      <c r="F12" s="4" t="s">
        <v>2023</v>
      </c>
      <c r="G12" s="4" t="s">
        <v>2116</v>
      </c>
      <c r="H12" s="4"/>
      <c r="I12" s="4"/>
      <c r="J12" s="4"/>
      <c r="K12" s="4">
        <v>18500</v>
      </c>
      <c r="L12" s="4"/>
      <c r="M12" s="4"/>
      <c r="N12" t="s">
        <v>1891</v>
      </c>
    </row>
    <row r="13" spans="1:14" x14ac:dyDescent="0.25">
      <c r="A13" s="5">
        <v>44464</v>
      </c>
      <c r="B13" s="4" t="s">
        <v>1946</v>
      </c>
      <c r="C13" s="4"/>
      <c r="D13" s="4" t="s">
        <v>2336</v>
      </c>
      <c r="E13" s="4">
        <v>2070</v>
      </c>
      <c r="F13" s="4" t="s">
        <v>2047</v>
      </c>
      <c r="G13" s="4" t="s">
        <v>2335</v>
      </c>
      <c r="H13" s="4" t="s">
        <v>2503</v>
      </c>
      <c r="I13" s="4" t="s">
        <v>2608</v>
      </c>
      <c r="J13" s="4">
        <v>700</v>
      </c>
      <c r="K13" s="4">
        <v>12100</v>
      </c>
      <c r="L13" s="4"/>
      <c r="M13" s="4"/>
    </row>
    <row r="14" spans="1:14" x14ac:dyDescent="0.25">
      <c r="A14" s="5">
        <v>44469</v>
      </c>
      <c r="B14" s="4" t="s">
        <v>1956</v>
      </c>
      <c r="C14" s="4"/>
      <c r="D14" s="4" t="s">
        <v>1957</v>
      </c>
      <c r="E14" s="4">
        <v>2000</v>
      </c>
      <c r="F14" s="4" t="s">
        <v>1958</v>
      </c>
      <c r="G14" s="4" t="s">
        <v>1996</v>
      </c>
      <c r="H14" s="4" t="s">
        <v>2089</v>
      </c>
      <c r="I14" s="4" t="s">
        <v>2090</v>
      </c>
      <c r="J14" s="4"/>
      <c r="K14" s="4">
        <v>13950</v>
      </c>
      <c r="L14" s="4">
        <v>8124263651</v>
      </c>
      <c r="M14" s="4"/>
    </row>
    <row r="15" spans="1:14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4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21"/>
  <sheetViews>
    <sheetView topLeftCell="A7" workbookViewId="0"/>
  </sheetViews>
  <sheetFormatPr baseColWidth="10" defaultRowHeight="15" x14ac:dyDescent="0.25"/>
  <cols>
    <col min="3" max="3" width="15.7109375" customWidth="1"/>
    <col min="4" max="4" width="30.7109375" customWidth="1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 t="s">
        <v>1216</v>
      </c>
      <c r="L1" s="71" t="s">
        <v>1217</v>
      </c>
      <c r="M1" s="71"/>
    </row>
    <row r="2" spans="1:14" ht="30" x14ac:dyDescent="0.25">
      <c r="A2" s="8">
        <v>44470</v>
      </c>
      <c r="B2" s="4" t="s">
        <v>1968</v>
      </c>
      <c r="C2" s="4"/>
      <c r="D2" s="40" t="s">
        <v>2049</v>
      </c>
      <c r="E2" s="4">
        <v>6000</v>
      </c>
      <c r="F2" s="4" t="s">
        <v>2050</v>
      </c>
      <c r="G2" s="4" t="s">
        <v>2175</v>
      </c>
      <c r="H2" s="4"/>
      <c r="I2" s="4"/>
      <c r="J2" s="4"/>
      <c r="K2" s="4">
        <v>14800</v>
      </c>
      <c r="L2" s="4"/>
      <c r="M2" s="4"/>
    </row>
    <row r="3" spans="1:14" x14ac:dyDescent="0.25">
      <c r="A3" s="8">
        <v>44471</v>
      </c>
      <c r="B3" s="4" t="s">
        <v>1977</v>
      </c>
      <c r="C3" s="4"/>
      <c r="D3" s="4" t="s">
        <v>2622</v>
      </c>
      <c r="E3" s="4">
        <v>3920</v>
      </c>
      <c r="F3" s="4" t="s">
        <v>2163</v>
      </c>
      <c r="G3" s="4" t="s">
        <v>2277</v>
      </c>
      <c r="H3" s="4">
        <v>375</v>
      </c>
      <c r="I3" s="4" t="s">
        <v>2667</v>
      </c>
      <c r="J3" s="4"/>
      <c r="K3" s="4">
        <v>20600</v>
      </c>
      <c r="L3" s="4"/>
      <c r="M3" s="4"/>
      <c r="N3" s="15"/>
    </row>
    <row r="4" spans="1:14" x14ac:dyDescent="0.25">
      <c r="A4" s="8">
        <v>44474</v>
      </c>
      <c r="B4" s="4" t="s">
        <v>1982</v>
      </c>
      <c r="C4" s="4"/>
      <c r="D4" s="4" t="s">
        <v>1983</v>
      </c>
      <c r="E4" s="4">
        <v>3480</v>
      </c>
      <c r="F4" s="4" t="s">
        <v>2021</v>
      </c>
      <c r="G4" s="4" t="s">
        <v>2148</v>
      </c>
      <c r="H4" s="4"/>
      <c r="I4" s="4"/>
      <c r="J4" s="4"/>
      <c r="K4" s="4">
        <v>17400</v>
      </c>
      <c r="L4" s="4"/>
      <c r="M4" s="4"/>
    </row>
    <row r="5" spans="1:14" x14ac:dyDescent="0.25">
      <c r="A5" s="8">
        <v>44478</v>
      </c>
      <c r="B5" s="4" t="s">
        <v>1986</v>
      </c>
      <c r="C5" s="4"/>
      <c r="D5" s="4" t="s">
        <v>1987</v>
      </c>
      <c r="E5" s="4">
        <v>7520</v>
      </c>
      <c r="F5" s="4" t="s">
        <v>2051</v>
      </c>
      <c r="G5" s="4" t="s">
        <v>2143</v>
      </c>
      <c r="H5" s="4"/>
      <c r="I5" s="4"/>
      <c r="J5" s="4"/>
      <c r="K5" s="4">
        <v>18800</v>
      </c>
      <c r="L5" s="4"/>
      <c r="M5" s="4"/>
    </row>
    <row r="6" spans="1:14" x14ac:dyDescent="0.25">
      <c r="A6" s="8">
        <v>44478</v>
      </c>
      <c r="B6" s="4" t="s">
        <v>1990</v>
      </c>
      <c r="C6" s="4"/>
      <c r="D6" s="4" t="s">
        <v>1991</v>
      </c>
      <c r="E6" s="4">
        <v>3620</v>
      </c>
      <c r="F6" s="4" t="s">
        <v>2095</v>
      </c>
      <c r="G6" s="4" t="s">
        <v>2221</v>
      </c>
      <c r="H6" s="4" t="s">
        <v>2345</v>
      </c>
      <c r="I6" s="4" t="s">
        <v>2498</v>
      </c>
      <c r="J6" s="4"/>
      <c r="K6" s="4">
        <v>18100</v>
      </c>
      <c r="L6" s="4"/>
      <c r="M6" s="4"/>
    </row>
    <row r="7" spans="1:14" x14ac:dyDescent="0.25">
      <c r="A7" s="8">
        <v>44478</v>
      </c>
      <c r="B7" s="4" t="s">
        <v>2203</v>
      </c>
      <c r="C7" s="4"/>
      <c r="D7" s="4" t="s">
        <v>2427</v>
      </c>
      <c r="E7" s="4">
        <v>3060</v>
      </c>
      <c r="F7" s="4" t="s">
        <v>2063</v>
      </c>
      <c r="G7" s="4" t="s">
        <v>2204</v>
      </c>
      <c r="H7" s="4" t="s">
        <v>2224</v>
      </c>
      <c r="I7" s="4" t="s">
        <v>2373</v>
      </c>
      <c r="J7" s="4">
        <v>950</v>
      </c>
      <c r="K7" s="4">
        <v>16300</v>
      </c>
      <c r="L7" s="4"/>
      <c r="M7" s="4"/>
    </row>
    <row r="8" spans="1:14" ht="30" x14ac:dyDescent="0.25">
      <c r="A8" s="8">
        <v>44482</v>
      </c>
      <c r="B8" s="4" t="s">
        <v>1997</v>
      </c>
      <c r="C8" s="4"/>
      <c r="D8" s="40" t="s">
        <v>1998</v>
      </c>
      <c r="E8" s="4">
        <v>5350</v>
      </c>
      <c r="F8" s="4"/>
      <c r="G8" s="4"/>
      <c r="H8" s="4"/>
      <c r="I8" s="4"/>
      <c r="J8" s="4"/>
      <c r="K8" s="4">
        <v>5350</v>
      </c>
      <c r="L8" s="4"/>
      <c r="M8" s="4"/>
    </row>
    <row r="9" spans="1:14" x14ac:dyDescent="0.25">
      <c r="A9" s="8">
        <v>44485</v>
      </c>
      <c r="B9" s="4" t="s">
        <v>2006</v>
      </c>
      <c r="C9" s="4"/>
      <c r="D9" s="4" t="s">
        <v>2231</v>
      </c>
      <c r="E9" s="4">
        <v>5000</v>
      </c>
      <c r="F9" s="4" t="s">
        <v>2106</v>
      </c>
      <c r="G9" s="4" t="s">
        <v>2230</v>
      </c>
      <c r="H9" s="4" t="s">
        <v>2232</v>
      </c>
      <c r="I9" s="4" t="s">
        <v>2347</v>
      </c>
      <c r="J9" s="4"/>
      <c r="K9" s="4">
        <v>12000</v>
      </c>
      <c r="L9" s="4"/>
      <c r="M9" s="4"/>
    </row>
    <row r="10" spans="1:14" x14ac:dyDescent="0.25">
      <c r="A10" s="8">
        <v>44485</v>
      </c>
      <c r="B10" s="4" t="s">
        <v>2007</v>
      </c>
      <c r="C10" s="4"/>
      <c r="D10" s="4" t="s">
        <v>2110</v>
      </c>
      <c r="E10" s="4">
        <v>4600</v>
      </c>
      <c r="F10" s="4" t="s">
        <v>2132</v>
      </c>
      <c r="G10" s="4" t="s">
        <v>2133</v>
      </c>
      <c r="H10" s="4" t="s">
        <v>2181</v>
      </c>
      <c r="I10" s="4"/>
      <c r="J10" s="4"/>
      <c r="K10" s="4">
        <v>11950</v>
      </c>
      <c r="L10" s="4"/>
      <c r="M10" s="4"/>
    </row>
    <row r="11" spans="1:14" x14ac:dyDescent="0.25">
      <c r="A11" s="8">
        <v>44485</v>
      </c>
      <c r="B11" s="4" t="s">
        <v>2076</v>
      </c>
      <c r="C11" s="4"/>
      <c r="D11" s="4" t="s">
        <v>2365</v>
      </c>
      <c r="E11" s="4">
        <v>1890</v>
      </c>
      <c r="F11" s="4" t="s">
        <v>2077</v>
      </c>
      <c r="G11" s="4" t="s">
        <v>2244</v>
      </c>
      <c r="H11" s="4" t="s">
        <v>2339</v>
      </c>
      <c r="I11" s="4" t="s">
        <v>2364</v>
      </c>
      <c r="J11" s="4"/>
      <c r="K11" s="4">
        <v>11250</v>
      </c>
      <c r="L11" s="4"/>
      <c r="M11" s="4"/>
    </row>
    <row r="12" spans="1:14" x14ac:dyDescent="0.25">
      <c r="A12" s="8">
        <v>44485</v>
      </c>
      <c r="B12" s="4" t="s">
        <v>2009</v>
      </c>
      <c r="C12" s="4"/>
      <c r="D12" s="4" t="s">
        <v>2010</v>
      </c>
      <c r="E12" s="4">
        <v>2610</v>
      </c>
      <c r="F12" s="4" t="s">
        <v>2103</v>
      </c>
      <c r="G12" s="4" t="s">
        <v>2215</v>
      </c>
      <c r="H12" s="4" t="s">
        <v>2279</v>
      </c>
      <c r="I12" s="4"/>
      <c r="J12" s="4"/>
      <c r="K12" s="4">
        <v>13050</v>
      </c>
      <c r="L12" s="4"/>
      <c r="M12" s="4"/>
    </row>
    <row r="13" spans="1:14" x14ac:dyDescent="0.25">
      <c r="A13" s="5">
        <v>44492</v>
      </c>
      <c r="B13" s="4" t="s">
        <v>2356</v>
      </c>
      <c r="C13" s="4"/>
      <c r="D13" s="4" t="s">
        <v>1230</v>
      </c>
      <c r="E13" s="4">
        <v>1980</v>
      </c>
      <c r="F13" s="4" t="s">
        <v>2219</v>
      </c>
      <c r="G13" s="4" t="s">
        <v>2329</v>
      </c>
      <c r="H13" s="4" t="s">
        <v>2405</v>
      </c>
      <c r="I13" s="4"/>
      <c r="J13" s="4"/>
      <c r="K13" s="4">
        <v>9900</v>
      </c>
      <c r="L13" s="4"/>
      <c r="M13" s="4"/>
    </row>
    <row r="14" spans="1:14" x14ac:dyDescent="0.25">
      <c r="A14" s="5">
        <v>44492</v>
      </c>
      <c r="B14" s="4" t="s">
        <v>2306</v>
      </c>
      <c r="C14" s="4"/>
      <c r="D14" s="4" t="s">
        <v>2017</v>
      </c>
      <c r="E14" s="4">
        <v>2640</v>
      </c>
      <c r="F14" s="4" t="s">
        <v>2146</v>
      </c>
      <c r="G14" s="4" t="s">
        <v>2253</v>
      </c>
      <c r="H14" s="4" t="s">
        <v>2307</v>
      </c>
      <c r="I14" s="4" t="s">
        <v>2410</v>
      </c>
      <c r="J14" s="4"/>
      <c r="K14" s="4">
        <v>13200</v>
      </c>
      <c r="L14" s="4"/>
      <c r="M14" s="4"/>
    </row>
    <row r="15" spans="1:14" x14ac:dyDescent="0.25">
      <c r="A15" s="5">
        <v>44492</v>
      </c>
      <c r="B15" s="4" t="s">
        <v>2149</v>
      </c>
      <c r="C15" s="4"/>
      <c r="D15" s="4" t="s">
        <v>2025</v>
      </c>
      <c r="E15" s="4">
        <v>7000</v>
      </c>
      <c r="F15" s="4" t="s">
        <v>2150</v>
      </c>
      <c r="G15" s="4"/>
      <c r="H15" s="4"/>
      <c r="I15" s="4"/>
      <c r="J15" s="4"/>
      <c r="K15" s="4">
        <v>18000</v>
      </c>
      <c r="L15" s="4"/>
      <c r="M15" s="4"/>
    </row>
    <row r="16" spans="1:14" x14ac:dyDescent="0.25">
      <c r="A16" s="5">
        <v>44492</v>
      </c>
      <c r="B16" s="4" t="s">
        <v>2028</v>
      </c>
      <c r="C16" s="4"/>
      <c r="D16" s="4" t="s">
        <v>2018</v>
      </c>
      <c r="E16" s="4">
        <v>6120</v>
      </c>
      <c r="F16" s="4" t="s">
        <v>2154</v>
      </c>
      <c r="G16" s="4" t="s">
        <v>2258</v>
      </c>
      <c r="H16" s="4"/>
      <c r="I16" s="4"/>
      <c r="J16" s="4"/>
      <c r="K16" s="4">
        <v>15300</v>
      </c>
      <c r="L16" s="4"/>
      <c r="M16" s="4"/>
    </row>
    <row r="17" spans="1:13" x14ac:dyDescent="0.25">
      <c r="A17" s="5">
        <v>44492</v>
      </c>
      <c r="B17" s="4" t="s">
        <v>2019</v>
      </c>
      <c r="C17" s="4"/>
      <c r="D17" s="4" t="s">
        <v>2578</v>
      </c>
      <c r="E17" s="4">
        <v>2250</v>
      </c>
      <c r="F17" s="4" t="s">
        <v>2111</v>
      </c>
      <c r="G17" s="4" t="s">
        <v>2249</v>
      </c>
      <c r="H17" s="4" t="s">
        <v>2579</v>
      </c>
      <c r="I17" s="4">
        <v>1400</v>
      </c>
      <c r="J17" s="4"/>
      <c r="K17" s="4">
        <v>12800</v>
      </c>
      <c r="L17" s="4"/>
      <c r="M17" s="4"/>
    </row>
    <row r="18" spans="1:13" x14ac:dyDescent="0.25">
      <c r="A18" s="5">
        <v>44492</v>
      </c>
      <c r="B18" s="4" t="s">
        <v>2032</v>
      </c>
      <c r="C18" s="4"/>
      <c r="D18" s="4" t="s">
        <v>2417</v>
      </c>
      <c r="E18" s="4">
        <v>2250</v>
      </c>
      <c r="F18" s="4" t="s">
        <v>2147</v>
      </c>
      <c r="G18" s="4" t="s">
        <v>2255</v>
      </c>
      <c r="H18" s="4" t="s">
        <v>2346</v>
      </c>
      <c r="I18" s="4">
        <v>2950</v>
      </c>
      <c r="J18" s="4"/>
      <c r="K18" s="4">
        <v>14450</v>
      </c>
      <c r="L18" s="4"/>
      <c r="M18" s="4"/>
    </row>
    <row r="19" spans="1:13" x14ac:dyDescent="0.25">
      <c r="A19" s="5">
        <v>44494</v>
      </c>
      <c r="B19" s="4" t="s">
        <v>2034</v>
      </c>
      <c r="C19" s="4"/>
      <c r="D19" s="4" t="s">
        <v>2107</v>
      </c>
      <c r="E19" s="4">
        <v>4000</v>
      </c>
      <c r="F19" s="4" t="s">
        <v>2142</v>
      </c>
      <c r="G19" s="4" t="s">
        <v>2151</v>
      </c>
      <c r="H19" s="4"/>
      <c r="I19" s="4"/>
      <c r="J19" s="4"/>
      <c r="K19" s="4">
        <v>9850</v>
      </c>
      <c r="L19" s="4"/>
      <c r="M19" s="4"/>
    </row>
    <row r="20" spans="1:13" ht="30" x14ac:dyDescent="0.25">
      <c r="A20" s="8">
        <v>44499</v>
      </c>
      <c r="B20" s="4" t="s">
        <v>2041</v>
      </c>
      <c r="C20" s="4"/>
      <c r="D20" s="40" t="s">
        <v>2042</v>
      </c>
      <c r="E20" s="4">
        <v>2910</v>
      </c>
      <c r="F20" s="4" t="s">
        <v>2241</v>
      </c>
      <c r="G20" s="4" t="s">
        <v>2332</v>
      </c>
      <c r="H20" s="4" t="s">
        <v>2430</v>
      </c>
      <c r="I20" s="4"/>
      <c r="J20" s="4"/>
      <c r="K20" s="4">
        <v>14550</v>
      </c>
      <c r="L20" s="4"/>
      <c r="M20" s="4"/>
    </row>
    <row r="21" spans="1:13" ht="30" x14ac:dyDescent="0.25">
      <c r="A21" s="8">
        <v>44499</v>
      </c>
      <c r="B21" s="4" t="s">
        <v>2046</v>
      </c>
      <c r="C21" s="4"/>
      <c r="D21" s="40" t="s">
        <v>2189</v>
      </c>
      <c r="E21" s="4">
        <v>3000</v>
      </c>
      <c r="F21" s="4" t="s">
        <v>2131</v>
      </c>
      <c r="G21" s="4" t="s">
        <v>2168</v>
      </c>
      <c r="H21" s="4" t="s">
        <v>2187</v>
      </c>
      <c r="I21" s="4" t="s">
        <v>2188</v>
      </c>
      <c r="J21" s="4" t="s">
        <v>2190</v>
      </c>
      <c r="K21" s="4">
        <v>14800</v>
      </c>
      <c r="L21" s="4"/>
      <c r="M21" s="4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5"/>
  <sheetViews>
    <sheetView workbookViewId="0">
      <selection activeCell="H19" sqref="H19"/>
    </sheetView>
  </sheetViews>
  <sheetFormatPr baseColWidth="10" defaultRowHeight="15" x14ac:dyDescent="0.25"/>
  <cols>
    <col min="2" max="2" width="23.85546875" customWidth="1"/>
    <col min="4" max="4" width="37.140625" customWidth="1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 t="s">
        <v>1216</v>
      </c>
      <c r="L1" s="71" t="s">
        <v>1217</v>
      </c>
      <c r="M1" s="71"/>
    </row>
    <row r="2" spans="1:14" x14ac:dyDescent="0.25">
      <c r="A2" s="8">
        <v>44504</v>
      </c>
      <c r="B2" s="4" t="s">
        <v>2137</v>
      </c>
      <c r="C2" s="4"/>
      <c r="D2" s="4" t="s">
        <v>2060</v>
      </c>
      <c r="E2" s="4">
        <v>9080</v>
      </c>
      <c r="F2" s="4" t="s">
        <v>2173</v>
      </c>
      <c r="G2" s="4" t="s">
        <v>2228</v>
      </c>
      <c r="H2" s="4" t="s">
        <v>2444</v>
      </c>
      <c r="I2" s="4"/>
      <c r="J2" s="4"/>
      <c r="K2" s="4">
        <v>22700</v>
      </c>
      <c r="L2" s="4"/>
      <c r="M2" s="4" t="s">
        <v>2061</v>
      </c>
    </row>
    <row r="3" spans="1:14" x14ac:dyDescent="0.25">
      <c r="A3" s="8">
        <v>44506</v>
      </c>
      <c r="B3" s="4" t="s">
        <v>2064</v>
      </c>
      <c r="C3" s="4"/>
      <c r="D3" s="4" t="s">
        <v>2309</v>
      </c>
      <c r="E3" s="4">
        <v>1980</v>
      </c>
      <c r="F3" s="4" t="s">
        <v>2177</v>
      </c>
      <c r="G3" s="4" t="s">
        <v>2250</v>
      </c>
      <c r="H3" s="4">
        <v>4810</v>
      </c>
      <c r="I3" s="4"/>
      <c r="J3" s="4"/>
      <c r="K3" s="4">
        <v>10650</v>
      </c>
      <c r="L3" s="4"/>
      <c r="M3" s="4" t="s">
        <v>2065</v>
      </c>
      <c r="N3" s="30"/>
    </row>
    <row r="4" spans="1:14" x14ac:dyDescent="0.25">
      <c r="A4" s="8">
        <v>44506</v>
      </c>
      <c r="B4" s="4" t="s">
        <v>2067</v>
      </c>
      <c r="C4" s="6">
        <v>44593</v>
      </c>
      <c r="D4" s="4" t="s">
        <v>2237</v>
      </c>
      <c r="E4" s="4" t="s">
        <v>2343</v>
      </c>
      <c r="F4" s="4" t="s">
        <v>2220</v>
      </c>
      <c r="G4" s="4" t="s">
        <v>2342</v>
      </c>
      <c r="H4" s="4">
        <v>1650</v>
      </c>
      <c r="I4" s="4"/>
      <c r="J4" s="4"/>
      <c r="K4" s="4">
        <v>14650</v>
      </c>
      <c r="L4" s="4"/>
      <c r="M4" s="4" t="s">
        <v>2068</v>
      </c>
    </row>
    <row r="5" spans="1:14" x14ac:dyDescent="0.25">
      <c r="A5" s="8">
        <v>44506</v>
      </c>
      <c r="B5" s="4" t="s">
        <v>2161</v>
      </c>
      <c r="C5" s="4"/>
      <c r="D5" s="4" t="s">
        <v>2069</v>
      </c>
      <c r="E5" s="4">
        <v>7000</v>
      </c>
      <c r="F5" s="4" t="s">
        <v>2207</v>
      </c>
      <c r="G5" s="4" t="s">
        <v>2235</v>
      </c>
      <c r="H5" s="4"/>
      <c r="I5" s="4"/>
      <c r="J5" s="4"/>
      <c r="K5" s="4">
        <v>13750</v>
      </c>
      <c r="L5" s="4"/>
      <c r="M5" s="4"/>
    </row>
    <row r="6" spans="1:14" x14ac:dyDescent="0.25">
      <c r="A6" s="8">
        <v>44506</v>
      </c>
      <c r="B6" s="4" t="s">
        <v>2070</v>
      </c>
      <c r="C6" s="4"/>
      <c r="D6" s="4" t="s">
        <v>2071</v>
      </c>
      <c r="E6" s="4">
        <v>2725</v>
      </c>
      <c r="F6" s="4" t="s">
        <v>2314</v>
      </c>
      <c r="G6" s="4"/>
      <c r="H6" s="4"/>
      <c r="I6" s="4"/>
      <c r="J6" s="4"/>
      <c r="K6" s="4">
        <v>5450</v>
      </c>
      <c r="L6" s="4"/>
      <c r="M6" s="4"/>
    </row>
    <row r="7" spans="1:14" x14ac:dyDescent="0.25">
      <c r="A7" s="8">
        <v>44506</v>
      </c>
      <c r="B7" s="4" t="s">
        <v>2082</v>
      </c>
      <c r="C7" s="8">
        <v>44702</v>
      </c>
      <c r="D7" s="4" t="s">
        <v>2440</v>
      </c>
      <c r="E7" s="4">
        <v>4900</v>
      </c>
      <c r="F7" s="4" t="s">
        <v>2222</v>
      </c>
      <c r="G7" s="4" t="s">
        <v>2248</v>
      </c>
      <c r="H7" s="4" t="s">
        <v>2400</v>
      </c>
      <c r="I7" s="4" t="s">
        <v>2460</v>
      </c>
      <c r="J7" s="4" t="s">
        <v>2540</v>
      </c>
      <c r="K7" s="4">
        <v>30800</v>
      </c>
      <c r="L7" s="4"/>
      <c r="M7" s="4"/>
    </row>
    <row r="8" spans="1:14" x14ac:dyDescent="0.25">
      <c r="A8" s="8">
        <v>44509</v>
      </c>
      <c r="B8" s="4" t="s">
        <v>2085</v>
      </c>
      <c r="C8" s="4"/>
      <c r="D8" s="4" t="s">
        <v>2086</v>
      </c>
      <c r="E8" s="4">
        <v>3600</v>
      </c>
      <c r="F8" s="4" t="s">
        <v>2334</v>
      </c>
      <c r="G8" s="4" t="s">
        <v>2376</v>
      </c>
      <c r="H8" s="4" t="s">
        <v>2690</v>
      </c>
      <c r="I8" s="4"/>
      <c r="J8" s="4"/>
      <c r="K8" s="4">
        <v>19000</v>
      </c>
      <c r="L8" s="4"/>
      <c r="M8" s="4" t="s">
        <v>2087</v>
      </c>
    </row>
    <row r="9" spans="1:14" x14ac:dyDescent="0.25">
      <c r="A9" s="8">
        <v>44509</v>
      </c>
      <c r="B9" s="4" t="s">
        <v>2092</v>
      </c>
      <c r="C9" s="4"/>
      <c r="D9" s="4" t="s">
        <v>2093</v>
      </c>
      <c r="E9" s="4">
        <v>1800</v>
      </c>
      <c r="F9" s="4" t="s">
        <v>2214</v>
      </c>
      <c r="G9" s="4"/>
      <c r="H9" s="4"/>
      <c r="I9" s="4"/>
      <c r="J9" s="4"/>
      <c r="K9" s="4">
        <v>4500</v>
      </c>
      <c r="L9" s="4"/>
      <c r="M9" s="4" t="s">
        <v>2094</v>
      </c>
    </row>
    <row r="10" spans="1:14" x14ac:dyDescent="0.25">
      <c r="A10" s="8">
        <v>44510</v>
      </c>
      <c r="B10" s="4" t="s">
        <v>2096</v>
      </c>
      <c r="C10" s="4"/>
      <c r="D10" s="4" t="s">
        <v>2206</v>
      </c>
      <c r="E10" s="4">
        <v>7000</v>
      </c>
      <c r="F10" s="4">
        <v>10700</v>
      </c>
      <c r="G10" s="4"/>
      <c r="H10" s="4"/>
      <c r="I10" s="4"/>
      <c r="J10" s="4"/>
      <c r="K10" s="4">
        <v>17100</v>
      </c>
      <c r="L10" s="4"/>
      <c r="M10" s="4" t="s">
        <v>2097</v>
      </c>
    </row>
    <row r="11" spans="1:14" x14ac:dyDescent="0.25">
      <c r="A11" s="8">
        <v>44512</v>
      </c>
      <c r="B11" s="4" t="s">
        <v>2104</v>
      </c>
      <c r="C11" s="8">
        <v>44736</v>
      </c>
      <c r="D11" s="4" t="s">
        <v>2105</v>
      </c>
      <c r="E11" s="4">
        <v>2000</v>
      </c>
      <c r="F11" s="4" t="s">
        <v>2216</v>
      </c>
      <c r="G11" s="4" t="s">
        <v>2310</v>
      </c>
      <c r="H11" s="4" t="s">
        <v>2450</v>
      </c>
      <c r="I11" s="4" t="s">
        <v>2564</v>
      </c>
      <c r="J11" s="4"/>
      <c r="K11" s="4">
        <v>11250</v>
      </c>
      <c r="L11" s="4"/>
      <c r="M11" s="4" t="s">
        <v>2097</v>
      </c>
    </row>
    <row r="12" spans="1:14" x14ac:dyDescent="0.25">
      <c r="A12" s="8">
        <v>44513</v>
      </c>
      <c r="B12" s="4" t="s">
        <v>2117</v>
      </c>
      <c r="C12" s="4"/>
      <c r="D12" s="4" t="s">
        <v>548</v>
      </c>
      <c r="E12" s="4">
        <v>1140</v>
      </c>
      <c r="F12" s="4" t="s">
        <v>2217</v>
      </c>
      <c r="G12" s="4" t="s">
        <v>2291</v>
      </c>
      <c r="H12" s="4" t="s">
        <v>2477</v>
      </c>
      <c r="I12" s="4"/>
      <c r="J12" s="4"/>
      <c r="K12" s="4">
        <v>5700</v>
      </c>
      <c r="L12" s="4"/>
      <c r="M12" s="4"/>
    </row>
    <row r="13" spans="1:14" x14ac:dyDescent="0.25">
      <c r="A13" s="8">
        <v>44515</v>
      </c>
      <c r="B13" s="4" t="s">
        <v>2118</v>
      </c>
      <c r="C13" s="4"/>
      <c r="D13" s="4" t="s">
        <v>2119</v>
      </c>
      <c r="E13" s="4">
        <v>3780</v>
      </c>
      <c r="F13" s="4">
        <v>10000</v>
      </c>
      <c r="G13" s="4" t="s">
        <v>2319</v>
      </c>
      <c r="H13" s="4" t="s">
        <v>2419</v>
      </c>
      <c r="I13" s="4">
        <v>120</v>
      </c>
      <c r="J13" s="4"/>
      <c r="K13" s="4">
        <v>18900</v>
      </c>
      <c r="L13" s="4" t="s">
        <v>1891</v>
      </c>
      <c r="M13" s="4"/>
    </row>
    <row r="14" spans="1:14" x14ac:dyDescent="0.25">
      <c r="A14" s="8">
        <v>44515</v>
      </c>
      <c r="B14" s="4" t="s">
        <v>3006</v>
      </c>
      <c r="C14" s="4"/>
      <c r="D14" s="4" t="s">
        <v>2120</v>
      </c>
      <c r="E14" s="4">
        <v>4380</v>
      </c>
      <c r="F14" s="4" t="s">
        <v>2260</v>
      </c>
      <c r="G14" s="4" t="s">
        <v>2261</v>
      </c>
      <c r="H14" s="4" t="s">
        <v>2395</v>
      </c>
      <c r="I14" s="4" t="s">
        <v>2458</v>
      </c>
      <c r="J14" s="4"/>
      <c r="K14" s="4">
        <v>21900</v>
      </c>
      <c r="L14" s="4" t="s">
        <v>1891</v>
      </c>
      <c r="M14" s="4"/>
    </row>
    <row r="15" spans="1:14" x14ac:dyDescent="0.25">
      <c r="A15" s="26">
        <v>44515</v>
      </c>
      <c r="B15" s="10" t="s">
        <v>2121</v>
      </c>
      <c r="C15" s="10"/>
      <c r="D15" s="10" t="s">
        <v>2122</v>
      </c>
      <c r="E15" s="10">
        <v>1890</v>
      </c>
      <c r="F15" s="10" t="s">
        <v>2227</v>
      </c>
      <c r="G15" s="10"/>
      <c r="H15" s="10"/>
      <c r="I15" s="10"/>
      <c r="J15" s="10"/>
      <c r="K15" s="10">
        <v>18900</v>
      </c>
      <c r="L15" s="10" t="s">
        <v>1891</v>
      </c>
      <c r="M15" s="10" t="s">
        <v>2600</v>
      </c>
    </row>
    <row r="16" spans="1:14" x14ac:dyDescent="0.25">
      <c r="A16" s="8">
        <v>44516</v>
      </c>
      <c r="B16" s="4" t="s">
        <v>2123</v>
      </c>
      <c r="C16" s="4"/>
      <c r="D16" s="4" t="s">
        <v>2303</v>
      </c>
      <c r="E16" s="4">
        <v>4200</v>
      </c>
      <c r="F16" s="4" t="s">
        <v>2229</v>
      </c>
      <c r="G16" s="4" t="s">
        <v>2315</v>
      </c>
      <c r="H16" s="4" t="s">
        <v>2357</v>
      </c>
      <c r="I16" s="4">
        <v>2900</v>
      </c>
      <c r="J16" s="4" t="s">
        <v>2463</v>
      </c>
      <c r="K16" s="4">
        <v>12500</v>
      </c>
      <c r="L16" s="4"/>
      <c r="M16" s="4"/>
    </row>
    <row r="17" spans="1:13" x14ac:dyDescent="0.25">
      <c r="A17" s="8">
        <v>44516</v>
      </c>
      <c r="B17" s="4" t="s">
        <v>2124</v>
      </c>
      <c r="C17" s="4"/>
      <c r="D17" s="4" t="s">
        <v>2128</v>
      </c>
      <c r="E17" s="4">
        <v>1620</v>
      </c>
      <c r="F17" s="4">
        <v>1280</v>
      </c>
      <c r="G17" s="4" t="s">
        <v>2208</v>
      </c>
      <c r="H17" s="4"/>
      <c r="I17" s="4"/>
      <c r="J17" s="4"/>
      <c r="K17" s="4">
        <v>11300</v>
      </c>
      <c r="L17" s="4"/>
      <c r="M17" s="4" t="s">
        <v>2135</v>
      </c>
    </row>
    <row r="18" spans="1:13" x14ac:dyDescent="0.25">
      <c r="A18" s="26">
        <v>44516</v>
      </c>
      <c r="B18" s="10" t="s">
        <v>2125</v>
      </c>
      <c r="C18" s="10"/>
      <c r="D18" s="10" t="s">
        <v>2126</v>
      </c>
      <c r="E18" s="10">
        <v>9000</v>
      </c>
      <c r="F18" s="10"/>
      <c r="G18" s="10"/>
      <c r="H18" s="10"/>
      <c r="I18" s="10"/>
      <c r="J18" s="10"/>
      <c r="K18" s="10">
        <v>21900</v>
      </c>
      <c r="L18" s="10"/>
      <c r="M18" s="10" t="s">
        <v>2135</v>
      </c>
    </row>
    <row r="19" spans="1:13" ht="30" x14ac:dyDescent="0.25">
      <c r="A19" s="8">
        <v>44519</v>
      </c>
      <c r="B19" s="4" t="s">
        <v>2127</v>
      </c>
      <c r="C19" s="4"/>
      <c r="D19" s="40" t="s">
        <v>2337</v>
      </c>
      <c r="E19" s="4">
        <v>6100</v>
      </c>
      <c r="F19" s="4" t="s">
        <v>2242</v>
      </c>
      <c r="G19" s="4" t="s">
        <v>2316</v>
      </c>
      <c r="H19" s="4">
        <v>4300</v>
      </c>
      <c r="I19" s="4"/>
      <c r="J19" s="4"/>
      <c r="K19" s="4">
        <v>16400</v>
      </c>
      <c r="L19" s="4"/>
      <c r="M19" s="4"/>
    </row>
    <row r="20" spans="1:13" x14ac:dyDescent="0.25">
      <c r="A20" s="8">
        <v>44520</v>
      </c>
      <c r="B20" s="4" t="s">
        <v>2129</v>
      </c>
      <c r="C20" s="4"/>
      <c r="D20" s="4" t="s">
        <v>2338</v>
      </c>
      <c r="E20" s="4">
        <v>6660</v>
      </c>
      <c r="F20" s="4" t="s">
        <v>2297</v>
      </c>
      <c r="G20" s="4">
        <v>5650</v>
      </c>
      <c r="H20" s="4"/>
      <c r="I20" s="4"/>
      <c r="J20" s="4"/>
      <c r="K20" s="4">
        <v>16000</v>
      </c>
      <c r="L20" s="4"/>
      <c r="M20" s="4"/>
    </row>
    <row r="21" spans="1:13" x14ac:dyDescent="0.25">
      <c r="A21" s="8">
        <v>44527</v>
      </c>
      <c r="B21" s="4" t="s">
        <v>2155</v>
      </c>
      <c r="C21" s="4"/>
      <c r="D21" s="4" t="s">
        <v>758</v>
      </c>
      <c r="E21" s="4">
        <v>1980</v>
      </c>
      <c r="F21" s="4" t="s">
        <v>2170</v>
      </c>
      <c r="G21" s="4" t="s">
        <v>2330</v>
      </c>
      <c r="H21" s="4" t="s">
        <v>2348</v>
      </c>
      <c r="I21" s="4"/>
      <c r="J21" s="4"/>
      <c r="K21" s="4">
        <v>9900</v>
      </c>
      <c r="L21" s="4">
        <v>8119650083</v>
      </c>
      <c r="M21" s="4"/>
    </row>
    <row r="22" spans="1:13" ht="30" x14ac:dyDescent="0.25">
      <c r="A22" s="8">
        <v>44527</v>
      </c>
      <c r="B22" s="4" t="s">
        <v>2161</v>
      </c>
      <c r="C22" s="4"/>
      <c r="D22" s="40" t="s">
        <v>2162</v>
      </c>
      <c r="E22" s="4">
        <v>4000</v>
      </c>
      <c r="F22" s="4" t="s">
        <v>2236</v>
      </c>
      <c r="G22" s="4"/>
      <c r="H22" s="4"/>
      <c r="I22" s="4"/>
      <c r="J22" s="4"/>
      <c r="K22" s="4">
        <v>5800</v>
      </c>
      <c r="L22" s="4"/>
      <c r="M22" s="4"/>
    </row>
    <row r="23" spans="1:13" x14ac:dyDescent="0.25">
      <c r="A23" s="8">
        <v>44527</v>
      </c>
      <c r="B23" s="4" t="s">
        <v>2164</v>
      </c>
      <c r="C23" s="4"/>
      <c r="D23" s="4" t="s">
        <v>2165</v>
      </c>
      <c r="E23" s="4">
        <v>1000</v>
      </c>
      <c r="F23" s="4">
        <v>10000</v>
      </c>
      <c r="G23" s="4" t="s">
        <v>2225</v>
      </c>
      <c r="H23" s="4">
        <v>2800</v>
      </c>
      <c r="I23" s="4"/>
      <c r="J23" s="4"/>
      <c r="K23" s="4">
        <v>15300</v>
      </c>
      <c r="L23" s="4" t="s">
        <v>2265</v>
      </c>
      <c r="M23" s="4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16"/>
  <sheetViews>
    <sheetView workbookViewId="0"/>
  </sheetViews>
  <sheetFormatPr baseColWidth="10" defaultRowHeight="15" x14ac:dyDescent="0.25"/>
  <cols>
    <col min="2" max="2" width="25.140625" customWidth="1"/>
    <col min="4" max="4" width="41.85546875" customWidth="1"/>
  </cols>
  <sheetData>
    <row r="1" spans="1:12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 t="s">
        <v>1216</v>
      </c>
      <c r="K1" s="71" t="s">
        <v>1217</v>
      </c>
      <c r="L1" s="71"/>
    </row>
    <row r="2" spans="1:12" ht="30" x14ac:dyDescent="0.25">
      <c r="A2" s="8">
        <v>44532</v>
      </c>
      <c r="B2" s="4" t="s">
        <v>2174</v>
      </c>
      <c r="C2" s="4"/>
      <c r="D2" s="40" t="s">
        <v>2325</v>
      </c>
      <c r="E2" s="4">
        <v>4400</v>
      </c>
      <c r="F2" s="4" t="s">
        <v>2280</v>
      </c>
      <c r="G2" s="4" t="s">
        <v>2326</v>
      </c>
      <c r="H2" s="4"/>
      <c r="I2" s="4"/>
      <c r="J2" s="4">
        <v>11000</v>
      </c>
      <c r="K2" s="4"/>
      <c r="L2" s="4"/>
    </row>
    <row r="3" spans="1:12" x14ac:dyDescent="0.25">
      <c r="A3" s="8">
        <v>44534</v>
      </c>
      <c r="B3" s="4" t="s">
        <v>2183</v>
      </c>
      <c r="C3" s="4"/>
      <c r="D3" s="4" t="s">
        <v>2184</v>
      </c>
      <c r="E3" s="4">
        <v>1500</v>
      </c>
      <c r="F3" s="4" t="s">
        <v>2245</v>
      </c>
      <c r="G3" s="4">
        <v>3600</v>
      </c>
      <c r="H3" s="4"/>
      <c r="I3" s="4"/>
      <c r="J3" s="4">
        <v>7000</v>
      </c>
      <c r="K3" s="4"/>
      <c r="L3" s="4"/>
    </row>
    <row r="4" spans="1:12" x14ac:dyDescent="0.25">
      <c r="A4" s="8">
        <v>44534</v>
      </c>
      <c r="B4" s="4" t="s">
        <v>2191</v>
      </c>
      <c r="C4" s="4"/>
      <c r="D4" s="4" t="s">
        <v>2358</v>
      </c>
      <c r="E4" s="4">
        <v>4380</v>
      </c>
      <c r="F4" s="4" t="s">
        <v>2328</v>
      </c>
      <c r="G4" s="4" t="s">
        <v>2359</v>
      </c>
      <c r="H4" s="4" t="s">
        <v>2361</v>
      </c>
      <c r="I4" s="4" t="s">
        <v>2445</v>
      </c>
      <c r="J4" s="4">
        <v>23900</v>
      </c>
      <c r="K4" s="4"/>
      <c r="L4" s="4"/>
    </row>
    <row r="5" spans="1:12" x14ac:dyDescent="0.25">
      <c r="A5" s="26">
        <v>44534</v>
      </c>
      <c r="B5" s="10" t="s">
        <v>2192</v>
      </c>
      <c r="C5" s="10"/>
      <c r="D5" s="10" t="s">
        <v>941</v>
      </c>
      <c r="E5" s="10">
        <v>3060</v>
      </c>
      <c r="F5" s="10"/>
      <c r="G5" s="10"/>
      <c r="H5" s="10"/>
      <c r="I5" s="10"/>
      <c r="J5" s="10">
        <v>15300</v>
      </c>
      <c r="K5" s="10"/>
      <c r="L5" s="10" t="s">
        <v>2601</v>
      </c>
    </row>
    <row r="6" spans="1:12" x14ac:dyDescent="0.25">
      <c r="A6" s="8">
        <v>44534</v>
      </c>
      <c r="B6" s="4" t="s">
        <v>2194</v>
      </c>
      <c r="C6" s="4"/>
      <c r="D6" s="4" t="s">
        <v>2195</v>
      </c>
      <c r="E6" s="4">
        <v>6120</v>
      </c>
      <c r="F6" s="4">
        <v>720</v>
      </c>
      <c r="G6" s="4" t="s">
        <v>2234</v>
      </c>
      <c r="H6" s="4"/>
      <c r="I6" s="4"/>
      <c r="J6" s="4">
        <v>17100</v>
      </c>
      <c r="K6" s="4"/>
      <c r="L6" s="4"/>
    </row>
    <row r="7" spans="1:12" x14ac:dyDescent="0.25">
      <c r="A7" s="8">
        <v>44537</v>
      </c>
      <c r="B7" s="4" t="s">
        <v>2542</v>
      </c>
      <c r="C7" s="8"/>
      <c r="D7" s="4" t="s">
        <v>2720</v>
      </c>
      <c r="E7" s="4">
        <v>3550</v>
      </c>
      <c r="F7" s="4" t="s">
        <v>2267</v>
      </c>
      <c r="G7" s="4" t="s">
        <v>2341</v>
      </c>
      <c r="H7" s="4" t="s">
        <v>2435</v>
      </c>
      <c r="I7" s="4" t="s">
        <v>2551</v>
      </c>
      <c r="J7" s="4">
        <v>20450</v>
      </c>
      <c r="K7" s="4"/>
      <c r="L7" s="4"/>
    </row>
    <row r="8" spans="1:12" x14ac:dyDescent="0.25">
      <c r="A8" s="8">
        <v>44538</v>
      </c>
      <c r="B8" s="4" t="s">
        <v>2209</v>
      </c>
      <c r="C8" s="4"/>
      <c r="D8" s="4" t="s">
        <v>2210</v>
      </c>
      <c r="E8" s="4">
        <v>4500</v>
      </c>
      <c r="F8" s="4" t="s">
        <v>2257</v>
      </c>
      <c r="G8" s="4" t="s">
        <v>2437</v>
      </c>
      <c r="H8" s="4" t="s">
        <v>2437</v>
      </c>
      <c r="I8" s="6" t="s">
        <v>2469</v>
      </c>
      <c r="J8" s="4">
        <v>10650</v>
      </c>
      <c r="K8" s="4"/>
      <c r="L8" s="4"/>
    </row>
    <row r="9" spans="1:12" x14ac:dyDescent="0.25">
      <c r="A9" s="8">
        <v>44539</v>
      </c>
      <c r="B9" s="4" t="s">
        <v>2212</v>
      </c>
      <c r="C9" s="4"/>
      <c r="D9" s="4" t="s">
        <v>2213</v>
      </c>
      <c r="E9" s="4">
        <v>2000</v>
      </c>
      <c r="F9" s="4" t="s">
        <v>2283</v>
      </c>
      <c r="G9" s="4" t="s">
        <v>2302</v>
      </c>
      <c r="H9" s="4"/>
      <c r="I9" s="4"/>
      <c r="J9" s="4">
        <v>10000</v>
      </c>
      <c r="K9" s="4">
        <v>8119609000</v>
      </c>
      <c r="L9" s="4"/>
    </row>
    <row r="10" spans="1:12" x14ac:dyDescent="0.25">
      <c r="A10" s="8">
        <v>44543</v>
      </c>
      <c r="B10" s="4" t="s">
        <v>2251</v>
      </c>
      <c r="C10" s="4"/>
      <c r="D10" s="4" t="s">
        <v>2549</v>
      </c>
      <c r="E10" s="4">
        <v>5000</v>
      </c>
      <c r="F10" s="4" t="s">
        <v>2287</v>
      </c>
      <c r="G10" s="4" t="s">
        <v>2344</v>
      </c>
      <c r="H10" s="4" t="s">
        <v>2505</v>
      </c>
      <c r="I10" s="4" t="s">
        <v>2548</v>
      </c>
      <c r="J10" s="4">
        <v>21000</v>
      </c>
      <c r="K10" s="4"/>
      <c r="L10" s="4"/>
    </row>
    <row r="11" spans="1:12" x14ac:dyDescent="0.25">
      <c r="A11" s="8">
        <v>44544</v>
      </c>
      <c r="B11" s="4" t="s">
        <v>2226</v>
      </c>
      <c r="C11" s="8">
        <v>44752</v>
      </c>
      <c r="D11" s="4" t="s">
        <v>2246</v>
      </c>
      <c r="E11" s="4">
        <v>3060</v>
      </c>
      <c r="F11" s="4" t="s">
        <v>2288</v>
      </c>
      <c r="G11" s="4" t="s">
        <v>2398</v>
      </c>
      <c r="H11" s="4" t="s">
        <v>2459</v>
      </c>
      <c r="I11" s="4" t="s">
        <v>2577</v>
      </c>
      <c r="J11" s="4">
        <v>15300</v>
      </c>
      <c r="K11" s="4"/>
      <c r="L11" s="4"/>
    </row>
    <row r="12" spans="1:12" x14ac:dyDescent="0.25">
      <c r="A12" s="8">
        <v>44548</v>
      </c>
      <c r="B12" s="4" t="s">
        <v>2239</v>
      </c>
      <c r="C12" s="4"/>
      <c r="D12" s="4" t="s">
        <v>2240</v>
      </c>
      <c r="E12" s="4">
        <v>700</v>
      </c>
      <c r="F12" s="4"/>
      <c r="G12" s="4"/>
      <c r="H12" s="4"/>
      <c r="I12" s="4"/>
      <c r="J12" s="4">
        <v>700</v>
      </c>
      <c r="K12" s="4"/>
      <c r="L12" s="4"/>
    </row>
    <row r="13" spans="1:12" x14ac:dyDescent="0.25">
      <c r="A13" s="8">
        <v>44548</v>
      </c>
      <c r="B13" s="4" t="s">
        <v>2252</v>
      </c>
      <c r="C13" s="4"/>
      <c r="D13" s="4" t="s">
        <v>1235</v>
      </c>
      <c r="E13" s="4">
        <v>3060</v>
      </c>
      <c r="F13" s="4" t="s">
        <v>2323</v>
      </c>
      <c r="G13" s="4" t="s">
        <v>2428</v>
      </c>
      <c r="H13" s="4" t="s">
        <v>2532</v>
      </c>
      <c r="I13" s="4" t="s">
        <v>2568</v>
      </c>
      <c r="J13" s="4">
        <v>18600</v>
      </c>
      <c r="K13" s="4"/>
      <c r="L13" s="4"/>
    </row>
    <row r="14" spans="1:12" x14ac:dyDescent="0.25">
      <c r="A14" s="8">
        <v>44553</v>
      </c>
      <c r="B14" s="4" t="s">
        <v>2254</v>
      </c>
      <c r="C14" s="4"/>
      <c r="D14" s="4" t="s">
        <v>2407</v>
      </c>
      <c r="E14" s="4">
        <v>4820</v>
      </c>
      <c r="F14" s="4" t="s">
        <v>2333</v>
      </c>
      <c r="G14" s="4">
        <v>800</v>
      </c>
      <c r="H14" s="4"/>
      <c r="I14" s="4"/>
      <c r="J14" s="4">
        <v>12050</v>
      </c>
      <c r="K14" s="4"/>
      <c r="L14" s="4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8673-97AC-426A-A9D5-11561C1AEE5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40"/>
  <sheetViews>
    <sheetView topLeftCell="A7" workbookViewId="0">
      <selection activeCell="B17" sqref="B17"/>
    </sheetView>
  </sheetViews>
  <sheetFormatPr baseColWidth="10" defaultRowHeight="15" x14ac:dyDescent="0.25"/>
  <cols>
    <col min="2" max="2" width="26.140625" customWidth="1"/>
    <col min="5" max="5" width="34" customWidth="1"/>
  </cols>
  <sheetData>
    <row r="1" spans="1:17" ht="18.75" x14ac:dyDescent="0.4">
      <c r="A1" s="59" t="s">
        <v>9</v>
      </c>
      <c r="B1" s="59" t="s">
        <v>0</v>
      </c>
      <c r="C1" s="59" t="s">
        <v>1</v>
      </c>
      <c r="D1" s="59" t="s">
        <v>206</v>
      </c>
      <c r="E1" s="59" t="s">
        <v>3</v>
      </c>
      <c r="F1" s="59" t="s">
        <v>5</v>
      </c>
      <c r="G1" s="59" t="s">
        <v>6</v>
      </c>
      <c r="H1" s="59" t="s">
        <v>7</v>
      </c>
      <c r="I1" s="59"/>
      <c r="J1" s="59"/>
      <c r="K1" s="59"/>
      <c r="L1" s="59"/>
      <c r="M1" s="59"/>
      <c r="N1" s="59" t="s">
        <v>270</v>
      </c>
      <c r="O1" s="59" t="s">
        <v>271</v>
      </c>
      <c r="P1" s="67" t="s">
        <v>833</v>
      </c>
    </row>
    <row r="2" spans="1:17" x14ac:dyDescent="0.25">
      <c r="A2" s="8">
        <v>44564</v>
      </c>
      <c r="B2" s="4" t="s">
        <v>2259</v>
      </c>
      <c r="C2" s="4"/>
      <c r="D2" s="4"/>
      <c r="E2" s="4" t="s">
        <v>2272</v>
      </c>
      <c r="F2" s="4">
        <v>5000</v>
      </c>
      <c r="G2" s="36" t="s">
        <v>2289</v>
      </c>
      <c r="H2" s="4"/>
      <c r="I2" s="4"/>
      <c r="J2" s="4"/>
      <c r="K2" s="4"/>
      <c r="L2" s="4"/>
      <c r="M2" s="4"/>
      <c r="N2" s="4">
        <v>10100</v>
      </c>
      <c r="O2" s="4"/>
      <c r="P2" s="4"/>
    </row>
    <row r="3" spans="1:17" x14ac:dyDescent="0.25">
      <c r="A3" s="5">
        <v>44565</v>
      </c>
      <c r="B3" s="4" t="s">
        <v>2264</v>
      </c>
      <c r="C3" s="4"/>
      <c r="D3" s="4"/>
      <c r="E3" s="4" t="s">
        <v>2273</v>
      </c>
      <c r="F3" s="4">
        <v>1000</v>
      </c>
      <c r="G3" s="4" t="s">
        <v>2266</v>
      </c>
      <c r="H3" s="4">
        <v>4350</v>
      </c>
      <c r="I3" s="4"/>
      <c r="J3" s="4"/>
      <c r="K3" s="4"/>
      <c r="L3" s="4"/>
      <c r="M3" s="4"/>
      <c r="N3" s="4">
        <v>10350</v>
      </c>
      <c r="O3" s="4"/>
      <c r="P3" s="4"/>
    </row>
    <row r="4" spans="1:17" x14ac:dyDescent="0.25">
      <c r="A4" s="33">
        <v>44565</v>
      </c>
      <c r="B4" s="10" t="s">
        <v>2268</v>
      </c>
      <c r="C4" s="10"/>
      <c r="D4" s="10"/>
      <c r="E4" s="10" t="s">
        <v>828</v>
      </c>
      <c r="F4" s="10">
        <v>2000</v>
      </c>
      <c r="G4" s="10"/>
      <c r="H4" s="10"/>
      <c r="I4" s="10"/>
      <c r="J4" s="10"/>
      <c r="K4" s="10"/>
      <c r="L4" s="10"/>
      <c r="M4" s="10"/>
      <c r="N4" s="10">
        <v>11250</v>
      </c>
      <c r="O4" s="10">
        <v>8116367373</v>
      </c>
      <c r="P4" s="10"/>
    </row>
    <row r="5" spans="1:17" x14ac:dyDescent="0.25">
      <c r="A5" s="8">
        <v>44569</v>
      </c>
      <c r="B5" s="4" t="s">
        <v>2269</v>
      </c>
      <c r="C5" s="8">
        <v>44716</v>
      </c>
      <c r="D5" s="4"/>
      <c r="E5" s="4" t="s">
        <v>2656</v>
      </c>
      <c r="F5" s="4">
        <v>3690</v>
      </c>
      <c r="G5" s="4" t="s">
        <v>2374</v>
      </c>
      <c r="H5" s="4" t="s">
        <v>2468</v>
      </c>
      <c r="I5" s="4" t="s">
        <v>2562</v>
      </c>
      <c r="J5" s="4" t="s">
        <v>2657</v>
      </c>
      <c r="K5" s="4"/>
      <c r="L5" s="4"/>
      <c r="M5" s="4"/>
      <c r="N5" s="4">
        <v>19150</v>
      </c>
      <c r="O5" s="4"/>
      <c r="P5" s="4"/>
    </row>
    <row r="6" spans="1:17" x14ac:dyDescent="0.25">
      <c r="A6" s="8">
        <v>44569</v>
      </c>
      <c r="B6" s="4" t="s">
        <v>2274</v>
      </c>
      <c r="C6" s="8">
        <v>44892</v>
      </c>
      <c r="D6" s="4"/>
      <c r="E6" s="4" t="s">
        <v>2692</v>
      </c>
      <c r="F6" s="4">
        <v>2250</v>
      </c>
      <c r="G6" s="4" t="s">
        <v>2386</v>
      </c>
      <c r="H6" s="4" t="s">
        <v>2474</v>
      </c>
      <c r="I6" s="4" t="s">
        <v>2625</v>
      </c>
      <c r="J6" s="4" t="s">
        <v>2688</v>
      </c>
      <c r="K6" s="4" t="s">
        <v>2941</v>
      </c>
      <c r="L6" s="4"/>
      <c r="M6" s="4"/>
      <c r="N6" s="4">
        <v>16200</v>
      </c>
      <c r="O6" s="4"/>
      <c r="P6" s="4"/>
    </row>
    <row r="7" spans="1:17" x14ac:dyDescent="0.25">
      <c r="A7" s="8">
        <v>44569</v>
      </c>
      <c r="B7" s="4" t="s">
        <v>2275</v>
      </c>
      <c r="C7" s="4"/>
      <c r="D7" s="4"/>
      <c r="E7" s="4" t="s">
        <v>2816</v>
      </c>
      <c r="F7" s="4">
        <v>3060</v>
      </c>
      <c r="G7" s="4">
        <v>3060</v>
      </c>
      <c r="H7" s="4" t="s">
        <v>2462</v>
      </c>
      <c r="I7" s="4" t="s">
        <v>2552</v>
      </c>
      <c r="J7" s="4" t="s">
        <v>2671</v>
      </c>
      <c r="K7" s="4" t="s">
        <v>2817</v>
      </c>
      <c r="L7" s="4"/>
      <c r="M7" s="4"/>
      <c r="N7" s="4">
        <v>20000</v>
      </c>
      <c r="O7" s="4"/>
      <c r="P7" s="4"/>
    </row>
    <row r="8" spans="1:17" x14ac:dyDescent="0.25">
      <c r="A8" s="8">
        <v>44569</v>
      </c>
      <c r="B8" s="4" t="s">
        <v>2276</v>
      </c>
      <c r="C8" s="4"/>
      <c r="D8" s="4"/>
      <c r="E8" s="4" t="s">
        <v>3040</v>
      </c>
      <c r="F8" s="4">
        <v>2590</v>
      </c>
      <c r="G8" s="4" t="s">
        <v>2382</v>
      </c>
      <c r="H8" s="4" t="s">
        <v>2436</v>
      </c>
      <c r="I8" s="4" t="s">
        <v>2604</v>
      </c>
      <c r="J8" s="4" t="s">
        <v>3039</v>
      </c>
      <c r="K8" s="4">
        <v>1445</v>
      </c>
      <c r="L8" s="4"/>
      <c r="M8" s="4"/>
      <c r="N8" s="4">
        <v>12950</v>
      </c>
      <c r="O8" s="4"/>
      <c r="P8" s="4"/>
    </row>
    <row r="9" spans="1:17" x14ac:dyDescent="0.25">
      <c r="A9" s="8">
        <v>44571</v>
      </c>
      <c r="B9" s="4" t="s">
        <v>2278</v>
      </c>
      <c r="C9" s="4"/>
      <c r="D9" s="4"/>
      <c r="E9" s="4" t="s">
        <v>2673</v>
      </c>
      <c r="F9" s="4">
        <v>5000</v>
      </c>
      <c r="G9" s="4" t="s">
        <v>2380</v>
      </c>
      <c r="H9" s="4" t="s">
        <v>2467</v>
      </c>
      <c r="I9" s="4" t="s">
        <v>2541</v>
      </c>
      <c r="J9" s="4" t="s">
        <v>2672</v>
      </c>
      <c r="K9" s="4"/>
      <c r="L9" s="4"/>
      <c r="M9" s="4"/>
      <c r="N9" s="4">
        <v>19450</v>
      </c>
      <c r="O9" s="4"/>
      <c r="P9" s="4"/>
    </row>
    <row r="10" spans="1:17" x14ac:dyDescent="0.25">
      <c r="A10" s="8">
        <v>44572</v>
      </c>
      <c r="B10" s="4" t="s">
        <v>2282</v>
      </c>
      <c r="C10" s="4"/>
      <c r="D10" s="4"/>
      <c r="E10" s="4" t="s">
        <v>2367</v>
      </c>
      <c r="F10" s="4">
        <v>2430</v>
      </c>
      <c r="G10" s="4" t="s">
        <v>2366</v>
      </c>
      <c r="H10" s="4" t="s">
        <v>2368</v>
      </c>
      <c r="I10" s="4" t="s">
        <v>2481</v>
      </c>
      <c r="J10" s="4" t="s">
        <v>2544</v>
      </c>
      <c r="K10" s="4"/>
      <c r="L10" s="4"/>
      <c r="M10" s="4"/>
      <c r="N10" s="4">
        <v>15450</v>
      </c>
      <c r="O10" s="4"/>
      <c r="P10" s="4"/>
    </row>
    <row r="11" spans="1:17" x14ac:dyDescent="0.25">
      <c r="A11" s="8">
        <v>44572</v>
      </c>
      <c r="B11" s="4" t="s">
        <v>2284</v>
      </c>
      <c r="C11" s="4"/>
      <c r="D11" s="4"/>
      <c r="E11" s="4" t="s">
        <v>2517</v>
      </c>
      <c r="F11" s="4">
        <v>5000</v>
      </c>
      <c r="G11" s="4" t="s">
        <v>2381</v>
      </c>
      <c r="H11" s="4">
        <v>850</v>
      </c>
      <c r="I11" s="4"/>
      <c r="J11" s="4"/>
      <c r="K11" s="4"/>
      <c r="L11" s="4"/>
      <c r="M11" s="4"/>
      <c r="N11" s="4">
        <v>11750</v>
      </c>
      <c r="O11" s="4"/>
      <c r="P11" s="4"/>
    </row>
    <row r="12" spans="1:17" x14ac:dyDescent="0.25">
      <c r="A12" s="8">
        <v>44572</v>
      </c>
      <c r="B12" s="4" t="s">
        <v>2285</v>
      </c>
      <c r="C12" s="4"/>
      <c r="D12" s="4"/>
      <c r="E12" s="4" t="s">
        <v>2286</v>
      </c>
      <c r="F12" s="4">
        <v>8400</v>
      </c>
      <c r="G12" s="4" t="s">
        <v>2384</v>
      </c>
      <c r="H12" s="4" t="s">
        <v>2585</v>
      </c>
      <c r="I12" s="4" t="s">
        <v>2611</v>
      </c>
      <c r="J12" s="4"/>
      <c r="K12" s="4"/>
      <c r="L12" s="4"/>
      <c r="M12" s="4"/>
      <c r="N12" s="4">
        <v>21000</v>
      </c>
      <c r="O12" s="4"/>
      <c r="P12" s="4"/>
    </row>
    <row r="13" spans="1:17" x14ac:dyDescent="0.25">
      <c r="A13" s="8">
        <v>44573</v>
      </c>
      <c r="B13" s="4" t="s">
        <v>2355</v>
      </c>
      <c r="C13" s="4"/>
      <c r="D13" s="4"/>
      <c r="E13" s="4" t="s">
        <v>1274</v>
      </c>
      <c r="F13" s="4">
        <v>4500</v>
      </c>
      <c r="G13" s="4" t="s">
        <v>2403</v>
      </c>
      <c r="H13" s="4" t="s">
        <v>2439</v>
      </c>
      <c r="I13" s="4" t="s">
        <v>2575</v>
      </c>
      <c r="J13" s="4"/>
      <c r="K13" s="4"/>
      <c r="L13" s="4"/>
      <c r="M13" s="4"/>
      <c r="N13" s="4">
        <v>11250</v>
      </c>
      <c r="O13" s="4"/>
      <c r="P13" s="4"/>
    </row>
    <row r="14" spans="1:17" x14ac:dyDescent="0.25">
      <c r="A14" s="8">
        <v>44575</v>
      </c>
      <c r="B14" s="4" t="s">
        <v>2290</v>
      </c>
      <c r="C14" s="8">
        <v>44849</v>
      </c>
      <c r="D14" s="4"/>
      <c r="E14" s="4" t="s">
        <v>2846</v>
      </c>
      <c r="F14" s="4">
        <v>1500</v>
      </c>
      <c r="G14" s="4" t="s">
        <v>2402</v>
      </c>
      <c r="H14" s="4" t="s">
        <v>2500</v>
      </c>
      <c r="I14" s="4" t="s">
        <v>2650</v>
      </c>
      <c r="J14" s="4" t="s">
        <v>2796</v>
      </c>
      <c r="K14" s="4" t="s">
        <v>2847</v>
      </c>
      <c r="L14" s="4" t="s">
        <v>3024</v>
      </c>
      <c r="M14" s="4"/>
      <c r="N14" s="4">
        <v>11700</v>
      </c>
      <c r="O14" s="4"/>
      <c r="P14" s="4" t="s">
        <v>3025</v>
      </c>
      <c r="Q14" s="36"/>
    </row>
    <row r="15" spans="1:17" x14ac:dyDescent="0.25">
      <c r="A15" s="8">
        <v>44576</v>
      </c>
      <c r="B15" s="4" t="s">
        <v>2293</v>
      </c>
      <c r="C15" s="5">
        <v>44737</v>
      </c>
      <c r="D15" s="4"/>
      <c r="E15" s="4" t="s">
        <v>2294</v>
      </c>
      <c r="F15" s="4">
        <v>8000</v>
      </c>
      <c r="G15" s="4" t="s">
        <v>2399</v>
      </c>
      <c r="H15" s="4" t="s">
        <v>2461</v>
      </c>
      <c r="I15" s="4" t="s">
        <v>2586</v>
      </c>
      <c r="J15" s="4"/>
      <c r="K15" s="4"/>
      <c r="L15" s="4"/>
      <c r="M15" s="4"/>
      <c r="N15" s="4">
        <v>14250</v>
      </c>
      <c r="O15" s="4"/>
      <c r="P15" s="4"/>
    </row>
    <row r="16" spans="1:17" x14ac:dyDescent="0.25">
      <c r="A16" s="8">
        <v>44576</v>
      </c>
      <c r="B16" s="4" t="s">
        <v>2295</v>
      </c>
      <c r="C16" s="4"/>
      <c r="D16" s="4"/>
      <c r="E16" s="4" t="s">
        <v>2296</v>
      </c>
      <c r="F16" s="4">
        <v>5300</v>
      </c>
      <c r="G16" s="4" t="s">
        <v>2394</v>
      </c>
      <c r="H16" s="4" t="s">
        <v>2487</v>
      </c>
      <c r="I16" s="4" t="s">
        <v>2623</v>
      </c>
      <c r="J16" s="4"/>
      <c r="K16" s="4"/>
      <c r="L16" s="4"/>
      <c r="M16" s="4"/>
      <c r="N16" s="4">
        <v>13250</v>
      </c>
      <c r="O16" s="4"/>
      <c r="P16" s="4"/>
    </row>
    <row r="17" spans="1:16" x14ac:dyDescent="0.25">
      <c r="A17" s="8">
        <v>44576</v>
      </c>
      <c r="B17" s="4" t="s">
        <v>2298</v>
      </c>
      <c r="C17" s="4"/>
      <c r="D17" s="4"/>
      <c r="E17" s="4" t="s">
        <v>2418</v>
      </c>
      <c r="F17" s="4">
        <v>6750</v>
      </c>
      <c r="G17" s="4" t="s">
        <v>2340</v>
      </c>
      <c r="H17" s="4" t="s">
        <v>2453</v>
      </c>
      <c r="I17" s="4"/>
      <c r="J17" s="4"/>
      <c r="K17" s="4"/>
      <c r="L17" s="4"/>
      <c r="M17" s="4"/>
      <c r="N17" s="4">
        <v>11250</v>
      </c>
      <c r="O17" s="4"/>
      <c r="P17" s="4"/>
    </row>
    <row r="18" spans="1:16" x14ac:dyDescent="0.25">
      <c r="A18" s="8">
        <v>44576</v>
      </c>
      <c r="B18" s="4" t="s">
        <v>2300</v>
      </c>
      <c r="C18" s="4"/>
      <c r="D18" s="4"/>
      <c r="E18" s="4" t="s">
        <v>2301</v>
      </c>
      <c r="F18" s="4">
        <v>3000</v>
      </c>
      <c r="G18" s="4" t="s">
        <v>2438</v>
      </c>
      <c r="H18" s="4" t="s">
        <v>2506</v>
      </c>
      <c r="I18" s="4"/>
      <c r="J18" s="4"/>
      <c r="K18" s="4"/>
      <c r="L18" s="4"/>
      <c r="M18" s="4"/>
      <c r="N18" s="4">
        <v>13750</v>
      </c>
      <c r="O18" s="4"/>
      <c r="P18" s="4"/>
    </row>
    <row r="19" spans="1:16" x14ac:dyDescent="0.25">
      <c r="A19" s="8">
        <v>44579</v>
      </c>
      <c r="B19" s="4" t="s">
        <v>2312</v>
      </c>
      <c r="C19" s="5">
        <v>44688</v>
      </c>
      <c r="D19" s="4"/>
      <c r="E19" s="4" t="s">
        <v>2313</v>
      </c>
      <c r="F19" s="4">
        <v>5300</v>
      </c>
      <c r="G19" s="4" t="s">
        <v>2406</v>
      </c>
      <c r="H19" s="4" t="s">
        <v>2530</v>
      </c>
      <c r="I19" s="4"/>
      <c r="J19" s="4"/>
      <c r="K19" s="4"/>
      <c r="L19" s="4"/>
      <c r="M19" s="4"/>
      <c r="N19" s="4">
        <v>13250</v>
      </c>
      <c r="O19" s="4"/>
      <c r="P19" s="4"/>
    </row>
    <row r="20" spans="1:16" x14ac:dyDescent="0.25">
      <c r="A20" s="8">
        <v>44580</v>
      </c>
      <c r="B20" s="4" t="s">
        <v>2317</v>
      </c>
      <c r="C20" s="4"/>
      <c r="D20" s="4"/>
      <c r="E20" s="4" t="s">
        <v>2318</v>
      </c>
      <c r="F20" s="4">
        <v>3640</v>
      </c>
      <c r="G20" s="4" t="s">
        <v>2414</v>
      </c>
      <c r="H20" s="4" t="s">
        <v>2485</v>
      </c>
      <c r="I20" s="4"/>
      <c r="J20" s="4"/>
      <c r="K20" s="4"/>
      <c r="L20" s="4"/>
      <c r="M20" s="4"/>
      <c r="N20" s="4">
        <v>9100</v>
      </c>
      <c r="O20" s="4"/>
      <c r="P20" s="4"/>
    </row>
    <row r="21" spans="1:16" x14ac:dyDescent="0.25">
      <c r="A21" s="8">
        <v>44583</v>
      </c>
      <c r="B21" s="4" t="s">
        <v>2320</v>
      </c>
      <c r="C21" s="4"/>
      <c r="D21" s="4"/>
      <c r="E21" s="4" t="s">
        <v>2321</v>
      </c>
      <c r="F21" s="4">
        <v>1700</v>
      </c>
      <c r="G21" s="4" t="s">
        <v>2390</v>
      </c>
      <c r="H21" s="4"/>
      <c r="I21" s="4"/>
      <c r="J21" s="4"/>
      <c r="K21" s="4"/>
      <c r="L21" s="4"/>
      <c r="M21" s="4"/>
      <c r="N21" s="4">
        <v>3850</v>
      </c>
      <c r="O21" s="4">
        <v>8131085426</v>
      </c>
      <c r="P21" s="4"/>
    </row>
    <row r="22" spans="1:16" x14ac:dyDescent="0.25">
      <c r="A22" s="8">
        <v>44583</v>
      </c>
      <c r="B22" s="4" t="s">
        <v>2322</v>
      </c>
      <c r="C22" s="8">
        <v>44791</v>
      </c>
      <c r="D22" s="4"/>
      <c r="E22" s="4" t="s">
        <v>2867</v>
      </c>
      <c r="F22" s="4">
        <v>2890</v>
      </c>
      <c r="G22" s="4" t="s">
        <v>2420</v>
      </c>
      <c r="H22" s="4" t="s">
        <v>2486</v>
      </c>
      <c r="I22" s="4" t="s">
        <v>2647</v>
      </c>
      <c r="J22" s="4" t="s">
        <v>2683</v>
      </c>
      <c r="K22" s="4" t="s">
        <v>2868</v>
      </c>
      <c r="L22" s="4">
        <v>350</v>
      </c>
      <c r="M22" s="4"/>
      <c r="N22" s="4">
        <v>15150</v>
      </c>
      <c r="O22" s="4"/>
      <c r="P22" s="4"/>
    </row>
    <row r="23" spans="1:16" x14ac:dyDescent="0.25">
      <c r="A23" s="8">
        <v>44583</v>
      </c>
      <c r="B23" s="4" t="s">
        <v>2327</v>
      </c>
      <c r="C23" s="4"/>
      <c r="D23" s="4"/>
      <c r="E23" s="4" t="s">
        <v>2635</v>
      </c>
      <c r="F23" s="4">
        <v>3710</v>
      </c>
      <c r="G23" s="4" t="s">
        <v>2401</v>
      </c>
      <c r="H23" s="4" t="s">
        <v>2501</v>
      </c>
      <c r="I23" s="4" t="s">
        <v>2602</v>
      </c>
      <c r="J23" s="4" t="s">
        <v>2634</v>
      </c>
      <c r="K23" s="4"/>
      <c r="L23" s="4"/>
      <c r="M23" s="4"/>
      <c r="N23" s="4">
        <v>18550</v>
      </c>
      <c r="O23" s="4"/>
      <c r="P23" s="4"/>
    </row>
    <row r="24" spans="1:16" x14ac:dyDescent="0.25">
      <c r="A24" s="8">
        <v>44590</v>
      </c>
      <c r="B24" s="4" t="s">
        <v>2349</v>
      </c>
      <c r="C24" s="4"/>
      <c r="D24" s="4"/>
      <c r="E24" s="4" t="s">
        <v>2555</v>
      </c>
      <c r="F24" s="4">
        <v>2000</v>
      </c>
      <c r="G24" s="4" t="s">
        <v>2360</v>
      </c>
      <c r="H24" s="4" t="s">
        <v>2441</v>
      </c>
      <c r="I24" s="4" t="s">
        <v>2520</v>
      </c>
      <c r="J24" s="4" t="s">
        <v>2553</v>
      </c>
      <c r="K24" s="4" t="s">
        <v>2701</v>
      </c>
      <c r="L24" s="4" t="s">
        <v>2640</v>
      </c>
      <c r="M24" s="4">
        <v>3750</v>
      </c>
      <c r="N24" s="4">
        <v>15000</v>
      </c>
      <c r="O24" s="36"/>
      <c r="P24" s="4" t="s">
        <v>2556</v>
      </c>
    </row>
    <row r="25" spans="1:16" x14ac:dyDescent="0.25">
      <c r="A25" s="8">
        <v>400</v>
      </c>
      <c r="B25" s="4" t="s">
        <v>2350</v>
      </c>
      <c r="C25" s="4"/>
      <c r="D25" s="4"/>
      <c r="E25" s="4" t="s">
        <v>2521</v>
      </c>
      <c r="F25" s="4">
        <v>3000</v>
      </c>
      <c r="G25" s="4" t="s">
        <v>2448</v>
      </c>
      <c r="H25" s="4" t="s">
        <v>2518</v>
      </c>
      <c r="I25" s="4" t="s">
        <v>2645</v>
      </c>
      <c r="J25" s="4">
        <v>400</v>
      </c>
      <c r="K25" s="4"/>
      <c r="L25" s="4"/>
      <c r="M25" s="4"/>
      <c r="N25" s="4">
        <v>12150</v>
      </c>
      <c r="O25" s="4"/>
      <c r="P25" s="4"/>
    </row>
    <row r="26" spans="1:16" x14ac:dyDescent="0.25">
      <c r="A26" s="8">
        <v>44590</v>
      </c>
      <c r="B26" s="4" t="s">
        <v>2351</v>
      </c>
      <c r="C26" s="4"/>
      <c r="D26" s="4"/>
      <c r="E26" s="4" t="s">
        <v>2637</v>
      </c>
      <c r="F26" s="4">
        <v>2430</v>
      </c>
      <c r="G26" s="4" t="s">
        <v>2432</v>
      </c>
      <c r="H26" s="4" t="s">
        <v>2742</v>
      </c>
      <c r="I26" s="4" t="s">
        <v>2636</v>
      </c>
      <c r="J26" s="4" t="s">
        <v>2630</v>
      </c>
      <c r="K26" s="4" t="s">
        <v>2776</v>
      </c>
      <c r="L26" s="4"/>
      <c r="M26" s="4"/>
      <c r="N26" s="4">
        <v>14650</v>
      </c>
      <c r="O26" s="4"/>
      <c r="P26" s="4"/>
    </row>
    <row r="27" spans="1:16" ht="45" x14ac:dyDescent="0.25">
      <c r="A27" s="8">
        <v>44590</v>
      </c>
      <c r="B27" s="4" t="s">
        <v>2352</v>
      </c>
      <c r="C27" s="4"/>
      <c r="D27" s="4"/>
      <c r="E27" s="40" t="s">
        <v>2668</v>
      </c>
      <c r="F27" s="4">
        <v>8160</v>
      </c>
      <c r="G27" s="4" t="s">
        <v>2429</v>
      </c>
      <c r="H27" s="4" t="s">
        <v>2515</v>
      </c>
      <c r="I27" s="4" t="s">
        <v>2633</v>
      </c>
      <c r="J27" s="4" t="s">
        <v>2669</v>
      </c>
      <c r="K27" s="4" t="s">
        <v>2745</v>
      </c>
      <c r="L27" s="4" t="s">
        <v>2837</v>
      </c>
      <c r="M27" s="4"/>
      <c r="N27" s="4">
        <v>27450</v>
      </c>
      <c r="O27" s="4"/>
      <c r="P27" s="4"/>
    </row>
    <row r="28" spans="1:16" x14ac:dyDescent="0.25">
      <c r="A28" s="8">
        <v>44590</v>
      </c>
      <c r="B28" s="4" t="s">
        <v>2353</v>
      </c>
      <c r="C28" s="8">
        <v>44779</v>
      </c>
      <c r="D28" s="4"/>
      <c r="E28" s="4" t="s">
        <v>2898</v>
      </c>
      <c r="F28" s="4">
        <v>1530</v>
      </c>
      <c r="G28" s="4" t="s">
        <v>2431</v>
      </c>
      <c r="H28" s="4" t="s">
        <v>2516</v>
      </c>
      <c r="I28" s="4" t="s">
        <v>2639</v>
      </c>
      <c r="J28" s="34" t="s">
        <v>2730</v>
      </c>
      <c r="K28" s="4" t="s">
        <v>2838</v>
      </c>
      <c r="L28" s="4">
        <v>580</v>
      </c>
      <c r="M28" s="4" t="s">
        <v>1720</v>
      </c>
      <c r="N28" s="4">
        <v>7650</v>
      </c>
      <c r="O28" s="4"/>
      <c r="P28" s="4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6596-6DB2-423B-95A7-A418DD5E9DB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26"/>
  <sheetViews>
    <sheetView topLeftCell="A4" workbookViewId="0">
      <selection activeCell="B36" sqref="B36"/>
    </sheetView>
  </sheetViews>
  <sheetFormatPr baseColWidth="10" defaultRowHeight="15" x14ac:dyDescent="0.25"/>
  <cols>
    <col min="2" max="2" width="30.140625" customWidth="1"/>
    <col min="4" max="4" width="36.42578125" customWidth="1"/>
  </cols>
  <sheetData>
    <row r="1" spans="1:16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/>
      <c r="G1" s="71" t="s">
        <v>1214</v>
      </c>
      <c r="H1" s="71" t="s">
        <v>1215</v>
      </c>
      <c r="I1" s="71"/>
      <c r="J1" s="71"/>
      <c r="K1" s="71"/>
      <c r="L1" s="71"/>
      <c r="M1" s="71" t="s">
        <v>1216</v>
      </c>
      <c r="N1" s="71" t="s">
        <v>1217</v>
      </c>
      <c r="O1" s="71"/>
    </row>
    <row r="2" spans="1:16" x14ac:dyDescent="0.25">
      <c r="A2" s="8">
        <v>44593</v>
      </c>
      <c r="B2" s="4" t="s">
        <v>2524</v>
      </c>
      <c r="C2" s="5">
        <v>44793</v>
      </c>
      <c r="D2" s="4" t="s">
        <v>1230</v>
      </c>
      <c r="E2" s="4">
        <v>5000</v>
      </c>
      <c r="F2" s="4"/>
      <c r="G2" s="4" t="s">
        <v>2442</v>
      </c>
      <c r="H2" s="4" t="s">
        <v>2531</v>
      </c>
      <c r="I2" s="4" t="s">
        <v>2629</v>
      </c>
      <c r="J2" s="4" t="s">
        <v>2727</v>
      </c>
      <c r="K2" s="4"/>
      <c r="L2" s="4"/>
      <c r="M2" s="4">
        <v>9900</v>
      </c>
      <c r="N2" s="4"/>
      <c r="O2" s="4"/>
    </row>
    <row r="3" spans="1:16" x14ac:dyDescent="0.25">
      <c r="A3" s="8">
        <v>44596</v>
      </c>
      <c r="B3" s="4" t="s">
        <v>2744</v>
      </c>
      <c r="C3" s="5">
        <v>44799</v>
      </c>
      <c r="D3" s="4" t="s">
        <v>2825</v>
      </c>
      <c r="E3" s="4">
        <v>500</v>
      </c>
      <c r="F3" s="4"/>
      <c r="G3" s="4" t="s">
        <v>2383</v>
      </c>
      <c r="H3" s="4" t="s">
        <v>2488</v>
      </c>
      <c r="I3" s="4" t="s">
        <v>2591</v>
      </c>
      <c r="J3" s="4" t="s">
        <v>2702</v>
      </c>
      <c r="K3" s="4" t="s">
        <v>2824</v>
      </c>
      <c r="L3" s="4" t="s">
        <v>2939</v>
      </c>
      <c r="M3" s="4">
        <v>12400</v>
      </c>
      <c r="N3" s="4"/>
      <c r="O3" s="4"/>
    </row>
    <row r="4" spans="1:16" x14ac:dyDescent="0.25">
      <c r="A4" s="8">
        <v>44597</v>
      </c>
      <c r="B4" s="4" t="s">
        <v>2362</v>
      </c>
      <c r="C4" s="4"/>
      <c r="D4" s="4" t="s">
        <v>2756</v>
      </c>
      <c r="E4" s="4">
        <v>2400</v>
      </c>
      <c r="F4" s="4"/>
      <c r="G4" s="4" t="s">
        <v>2454</v>
      </c>
      <c r="H4" s="4" t="s">
        <v>2565</v>
      </c>
      <c r="I4" s="4" t="s">
        <v>2658</v>
      </c>
      <c r="J4" s="4">
        <v>2400</v>
      </c>
      <c r="K4" s="4">
        <v>800</v>
      </c>
      <c r="L4" s="4"/>
      <c r="M4" s="4">
        <v>12800</v>
      </c>
      <c r="N4" s="4">
        <v>8115325870</v>
      </c>
      <c r="O4" s="4"/>
    </row>
    <row r="5" spans="1:16" x14ac:dyDescent="0.25">
      <c r="A5" s="8">
        <v>44597</v>
      </c>
      <c r="B5" s="4" t="s">
        <v>2363</v>
      </c>
      <c r="C5" s="4"/>
      <c r="D5" s="4" t="s">
        <v>2708</v>
      </c>
      <c r="E5" s="4">
        <v>6500</v>
      </c>
      <c r="F5" s="4" t="s">
        <v>2737</v>
      </c>
      <c r="G5" s="4" t="s">
        <v>2457</v>
      </c>
      <c r="H5" s="4" t="s">
        <v>2547</v>
      </c>
      <c r="I5" s="4" t="s">
        <v>2738</v>
      </c>
      <c r="J5" s="4" t="s">
        <v>2709</v>
      </c>
      <c r="K5" s="4" t="s">
        <v>2784</v>
      </c>
      <c r="L5" s="4">
        <v>2500</v>
      </c>
      <c r="M5" s="4">
        <v>20950</v>
      </c>
      <c r="N5" s="4"/>
      <c r="O5" s="4"/>
    </row>
    <row r="6" spans="1:16" x14ac:dyDescent="0.25">
      <c r="A6" s="26">
        <v>44597</v>
      </c>
      <c r="B6" s="10" t="s">
        <v>2369</v>
      </c>
      <c r="C6" s="10"/>
      <c r="D6" s="10" t="s">
        <v>2370</v>
      </c>
      <c r="E6" s="10">
        <v>2790</v>
      </c>
      <c r="F6" s="10"/>
      <c r="G6" s="10"/>
      <c r="H6" s="10"/>
      <c r="I6" s="10"/>
      <c r="J6" s="10"/>
      <c r="K6" s="10"/>
      <c r="L6" s="10"/>
      <c r="M6" s="10">
        <v>13950</v>
      </c>
      <c r="N6" s="10"/>
      <c r="O6" s="10" t="s">
        <v>2600</v>
      </c>
    </row>
    <row r="7" spans="1:16" x14ac:dyDescent="0.25">
      <c r="A7" s="8">
        <v>44598</v>
      </c>
      <c r="B7" s="4" t="s">
        <v>2371</v>
      </c>
      <c r="C7" s="4"/>
      <c r="D7" s="4" t="s">
        <v>1118</v>
      </c>
      <c r="E7" s="4">
        <v>6500</v>
      </c>
      <c r="F7" s="4"/>
      <c r="G7" s="4" t="s">
        <v>2446</v>
      </c>
      <c r="H7" s="4" t="s">
        <v>2513</v>
      </c>
      <c r="I7" s="4" t="s">
        <v>2577</v>
      </c>
      <c r="J7" s="4"/>
      <c r="K7" s="4"/>
      <c r="L7" s="4"/>
      <c r="M7" s="4">
        <v>12500</v>
      </c>
      <c r="N7" s="4"/>
      <c r="O7" s="4"/>
      <c r="P7" t="s">
        <v>1891</v>
      </c>
    </row>
    <row r="8" spans="1:16" x14ac:dyDescent="0.25">
      <c r="A8" s="8">
        <v>44599</v>
      </c>
      <c r="B8" s="4" t="s">
        <v>2372</v>
      </c>
      <c r="C8" s="4"/>
      <c r="D8" s="4" t="s">
        <v>2907</v>
      </c>
      <c r="E8" s="4">
        <v>3440</v>
      </c>
      <c r="F8" s="4"/>
      <c r="G8" s="4" t="s">
        <v>2464</v>
      </c>
      <c r="H8" s="4" t="s">
        <v>2538</v>
      </c>
      <c r="I8" s="4" t="s">
        <v>2666</v>
      </c>
      <c r="J8" s="4" t="s">
        <v>2741</v>
      </c>
      <c r="K8" s="4" t="s">
        <v>2951</v>
      </c>
      <c r="L8" s="4">
        <v>800</v>
      </c>
      <c r="M8" s="4">
        <v>17200</v>
      </c>
      <c r="N8" s="4"/>
      <c r="O8" s="4"/>
      <c r="P8" t="s">
        <v>1891</v>
      </c>
    </row>
    <row r="9" spans="1:16" x14ac:dyDescent="0.25">
      <c r="A9" s="8">
        <v>44600</v>
      </c>
      <c r="B9" s="4" t="s">
        <v>2375</v>
      </c>
      <c r="C9" s="4"/>
      <c r="D9" s="4" t="s">
        <v>2652</v>
      </c>
      <c r="E9" s="4">
        <v>3060</v>
      </c>
      <c r="F9" s="4"/>
      <c r="G9" s="4" t="s">
        <v>2377</v>
      </c>
      <c r="H9" s="4" t="s">
        <v>2465</v>
      </c>
      <c r="I9" s="4" t="s">
        <v>2558</v>
      </c>
      <c r="J9" s="4" t="s">
        <v>2651</v>
      </c>
      <c r="K9" s="4" t="s">
        <v>2763</v>
      </c>
      <c r="L9" s="4"/>
      <c r="M9" s="4">
        <v>23775</v>
      </c>
      <c r="N9" s="4"/>
      <c r="O9" s="4"/>
    </row>
    <row r="10" spans="1:16" x14ac:dyDescent="0.25">
      <c r="A10" s="8">
        <v>44603</v>
      </c>
      <c r="B10" s="4" t="s">
        <v>2378</v>
      </c>
      <c r="C10" s="4"/>
      <c r="D10" s="4" t="s">
        <v>2379</v>
      </c>
      <c r="E10" s="4">
        <v>7000</v>
      </c>
      <c r="F10" s="4"/>
      <c r="G10" s="4" t="s">
        <v>2478</v>
      </c>
      <c r="H10" s="4" t="s">
        <v>2570</v>
      </c>
      <c r="I10" s="4" t="s">
        <v>2688</v>
      </c>
      <c r="J10" s="4" t="s">
        <v>2689</v>
      </c>
      <c r="K10" s="4"/>
      <c r="L10" s="4"/>
      <c r="M10" s="4">
        <v>16700</v>
      </c>
      <c r="N10" s="4"/>
      <c r="O10" s="4"/>
    </row>
    <row r="11" spans="1:16" x14ac:dyDescent="0.25">
      <c r="A11" s="8">
        <v>44604</v>
      </c>
      <c r="B11" s="4" t="s">
        <v>2385</v>
      </c>
      <c r="C11" s="4"/>
      <c r="D11" s="4" t="s">
        <v>2852</v>
      </c>
      <c r="E11" s="4">
        <v>2250</v>
      </c>
      <c r="F11" s="4"/>
      <c r="G11" s="4" t="s">
        <v>2472</v>
      </c>
      <c r="H11" s="4" t="s">
        <v>2539</v>
      </c>
      <c r="I11" s="4" t="s">
        <v>2768</v>
      </c>
      <c r="J11" s="4" t="s">
        <v>2840</v>
      </c>
      <c r="K11" s="4">
        <v>360</v>
      </c>
      <c r="L11" s="4"/>
      <c r="M11" s="4">
        <v>12150</v>
      </c>
      <c r="N11" s="4"/>
      <c r="O11" s="4"/>
    </row>
    <row r="12" spans="1:16" x14ac:dyDescent="0.25">
      <c r="A12" s="8">
        <v>44604</v>
      </c>
      <c r="B12" s="4" t="s">
        <v>2387</v>
      </c>
      <c r="C12" s="4"/>
      <c r="D12" s="4" t="s">
        <v>2388</v>
      </c>
      <c r="E12" s="4">
        <v>7650</v>
      </c>
      <c r="F12" s="4"/>
      <c r="G12" s="4" t="s">
        <v>2473</v>
      </c>
      <c r="H12" s="4" t="s">
        <v>2621</v>
      </c>
      <c r="I12" s="4"/>
      <c r="J12" s="4"/>
      <c r="K12" s="4"/>
      <c r="L12" s="4"/>
      <c r="M12" s="4">
        <v>15900</v>
      </c>
      <c r="N12" s="4"/>
      <c r="O12" s="4"/>
    </row>
    <row r="13" spans="1:16" x14ac:dyDescent="0.25">
      <c r="A13" s="8">
        <v>44604</v>
      </c>
      <c r="B13" s="4" t="s">
        <v>2545</v>
      </c>
      <c r="C13" s="4"/>
      <c r="D13" s="4" t="s">
        <v>2389</v>
      </c>
      <c r="E13" s="4">
        <v>6120</v>
      </c>
      <c r="F13" s="4"/>
      <c r="G13" s="4" t="s">
        <v>2471</v>
      </c>
      <c r="H13" s="4" t="s">
        <v>2546</v>
      </c>
      <c r="I13" s="4"/>
      <c r="J13" s="4"/>
      <c r="K13" s="4"/>
      <c r="L13" s="4"/>
      <c r="M13" s="4">
        <v>15300</v>
      </c>
      <c r="N13" s="4"/>
      <c r="O13" s="4"/>
    </row>
    <row r="14" spans="1:16" x14ac:dyDescent="0.25">
      <c r="A14" s="8">
        <v>44604</v>
      </c>
      <c r="B14" s="4" t="s">
        <v>2391</v>
      </c>
      <c r="C14" s="5">
        <v>44819</v>
      </c>
      <c r="D14" s="4" t="s">
        <v>2018</v>
      </c>
      <c r="E14" s="4">
        <v>1620</v>
      </c>
      <c r="F14" s="4"/>
      <c r="G14" s="4" t="s">
        <v>2413</v>
      </c>
      <c r="H14" s="4" t="s">
        <v>2476</v>
      </c>
      <c r="I14" s="4" t="s">
        <v>2587</v>
      </c>
      <c r="J14" s="4" t="s">
        <v>2682</v>
      </c>
      <c r="K14" s="4" t="s">
        <v>2767</v>
      </c>
      <c r="L14" s="4"/>
      <c r="M14" s="4">
        <v>15300</v>
      </c>
      <c r="N14" s="4"/>
      <c r="O14" s="4"/>
    </row>
    <row r="15" spans="1:16" x14ac:dyDescent="0.25">
      <c r="A15" s="8">
        <v>44607</v>
      </c>
      <c r="B15" s="4" t="s">
        <v>2392</v>
      </c>
      <c r="C15" s="4"/>
      <c r="D15" s="4" t="s">
        <v>2393</v>
      </c>
      <c r="E15" s="4">
        <v>2250</v>
      </c>
      <c r="F15" s="4"/>
      <c r="G15" s="4" t="s">
        <v>2470</v>
      </c>
      <c r="H15" s="4" t="s">
        <v>1545</v>
      </c>
      <c r="I15" s="4"/>
      <c r="J15" s="4"/>
      <c r="K15" s="4"/>
      <c r="L15" s="4"/>
      <c r="M15" s="4">
        <v>11250</v>
      </c>
      <c r="N15" s="4"/>
      <c r="O15" s="4"/>
    </row>
    <row r="16" spans="1:16" x14ac:dyDescent="0.25">
      <c r="A16" s="8">
        <v>44607</v>
      </c>
      <c r="B16" s="4" t="s">
        <v>2396</v>
      </c>
      <c r="C16" s="8">
        <v>44772</v>
      </c>
      <c r="D16" s="4" t="s">
        <v>2397</v>
      </c>
      <c r="E16" s="4">
        <v>3060</v>
      </c>
      <c r="F16" s="4"/>
      <c r="G16" s="4" t="s">
        <v>2495</v>
      </c>
      <c r="H16" s="4" t="s">
        <v>2612</v>
      </c>
      <c r="I16" s="4" t="s">
        <v>3051</v>
      </c>
      <c r="J16" s="4"/>
      <c r="K16" s="4"/>
      <c r="L16" s="4"/>
      <c r="M16" s="4">
        <v>15300</v>
      </c>
      <c r="N16" s="4"/>
      <c r="O16" s="4"/>
    </row>
    <row r="17" spans="1:15" x14ac:dyDescent="0.25">
      <c r="A17" s="8">
        <v>44609</v>
      </c>
      <c r="B17" s="4" t="s">
        <v>2404</v>
      </c>
      <c r="C17" s="5">
        <v>44737</v>
      </c>
      <c r="D17" s="4" t="s">
        <v>2409</v>
      </c>
      <c r="E17" s="4">
        <v>1800</v>
      </c>
      <c r="F17" s="4"/>
      <c r="G17" s="4" t="s">
        <v>2494</v>
      </c>
      <c r="H17" s="4" t="s">
        <v>2626</v>
      </c>
      <c r="I17" s="4" t="s">
        <v>2735</v>
      </c>
      <c r="J17" s="4" t="s">
        <v>2781</v>
      </c>
      <c r="K17" s="4"/>
      <c r="L17" s="4"/>
      <c r="M17" s="4">
        <v>8900</v>
      </c>
      <c r="N17" s="4"/>
      <c r="O17" s="4"/>
    </row>
    <row r="18" spans="1:15" x14ac:dyDescent="0.25">
      <c r="A18" s="8">
        <v>44611</v>
      </c>
      <c r="B18" s="4" t="s">
        <v>2408</v>
      </c>
      <c r="C18" s="4"/>
      <c r="D18" s="4" t="s">
        <v>2694</v>
      </c>
      <c r="E18" s="4">
        <v>4000</v>
      </c>
      <c r="F18" s="4"/>
      <c r="G18" s="4" t="s">
        <v>2502</v>
      </c>
      <c r="H18" s="4" t="s">
        <v>2580</v>
      </c>
      <c r="I18" s="4" t="s">
        <v>2581</v>
      </c>
      <c r="J18" s="4" t="s">
        <v>2715</v>
      </c>
      <c r="K18" s="4" t="s">
        <v>2775</v>
      </c>
      <c r="L18" s="4"/>
      <c r="M18" s="4">
        <v>11050</v>
      </c>
      <c r="N18" s="4"/>
      <c r="O18" s="4"/>
    </row>
    <row r="19" spans="1:15" x14ac:dyDescent="0.25">
      <c r="A19" s="8">
        <v>44611</v>
      </c>
      <c r="B19" s="4" t="s">
        <v>2411</v>
      </c>
      <c r="C19" s="4"/>
      <c r="D19" s="4" t="s">
        <v>2412</v>
      </c>
      <c r="E19" s="4">
        <v>21900</v>
      </c>
      <c r="F19" s="4"/>
      <c r="G19" s="4"/>
      <c r="H19" s="4"/>
      <c r="I19" s="4"/>
      <c r="J19" s="4"/>
      <c r="K19" s="4"/>
      <c r="L19" s="4"/>
      <c r="M19" s="4">
        <v>21900</v>
      </c>
      <c r="N19" s="4"/>
      <c r="O19" s="4"/>
    </row>
    <row r="20" spans="1:15" x14ac:dyDescent="0.25">
      <c r="A20" s="8">
        <v>44611</v>
      </c>
      <c r="B20" s="4" t="s">
        <v>2415</v>
      </c>
      <c r="C20" s="4"/>
      <c r="D20" s="4" t="s">
        <v>2416</v>
      </c>
      <c r="E20" s="4">
        <v>4080</v>
      </c>
      <c r="F20" s="4"/>
      <c r="G20" s="4" t="s">
        <v>2508</v>
      </c>
      <c r="H20" s="4" t="s">
        <v>2588</v>
      </c>
      <c r="I20" s="4" t="s">
        <v>2710</v>
      </c>
      <c r="J20" s="4" t="s">
        <v>2820</v>
      </c>
      <c r="K20" s="4"/>
      <c r="L20" s="4"/>
      <c r="M20" s="4">
        <v>20400</v>
      </c>
      <c r="N20" s="4"/>
      <c r="O20" s="4"/>
    </row>
    <row r="21" spans="1:15" x14ac:dyDescent="0.25">
      <c r="A21" s="8">
        <v>44615</v>
      </c>
      <c r="B21" s="4" t="s">
        <v>2421</v>
      </c>
      <c r="C21" s="8">
        <v>44713</v>
      </c>
      <c r="D21" s="4" t="s">
        <v>2422</v>
      </c>
      <c r="E21" s="4">
        <v>3360</v>
      </c>
      <c r="F21" s="4"/>
      <c r="G21" s="4" t="s">
        <v>2509</v>
      </c>
      <c r="H21" s="4"/>
      <c r="I21" s="4"/>
      <c r="J21" s="4"/>
      <c r="K21" s="4"/>
      <c r="L21" s="4"/>
      <c r="M21" s="4">
        <v>5600</v>
      </c>
      <c r="N21" s="4"/>
      <c r="O21" s="4"/>
    </row>
    <row r="22" spans="1:15" x14ac:dyDescent="0.25">
      <c r="A22" s="8">
        <v>44616</v>
      </c>
      <c r="B22" s="4" t="s">
        <v>2423</v>
      </c>
      <c r="C22" s="8">
        <v>44794</v>
      </c>
      <c r="D22" s="4" t="s">
        <v>2389</v>
      </c>
      <c r="E22" s="4">
        <v>2250</v>
      </c>
      <c r="F22" s="4"/>
      <c r="G22" s="4" t="s">
        <v>2512</v>
      </c>
      <c r="H22" s="4" t="s">
        <v>2614</v>
      </c>
      <c r="I22" s="4" t="s">
        <v>2711</v>
      </c>
      <c r="J22" s="4" t="s">
        <v>2814</v>
      </c>
      <c r="K22" s="4" t="s">
        <v>2887</v>
      </c>
      <c r="L22" s="4"/>
      <c r="M22" s="4">
        <v>17050</v>
      </c>
      <c r="N22" s="4"/>
      <c r="O22" s="4"/>
    </row>
    <row r="23" spans="1:15" x14ac:dyDescent="0.25">
      <c r="A23" s="8">
        <v>44617</v>
      </c>
      <c r="B23" s="4" t="s">
        <v>2424</v>
      </c>
      <c r="C23" s="8">
        <v>44758</v>
      </c>
      <c r="D23" s="4" t="s">
        <v>2713</v>
      </c>
      <c r="E23" s="4">
        <v>5500</v>
      </c>
      <c r="F23" s="4"/>
      <c r="G23" s="4" t="s">
        <v>2507</v>
      </c>
      <c r="H23" s="4" t="s">
        <v>2605</v>
      </c>
      <c r="I23" s="4">
        <v>3400</v>
      </c>
      <c r="J23" s="4">
        <v>800</v>
      </c>
      <c r="K23" s="4"/>
      <c r="L23" s="4"/>
      <c r="M23" s="4">
        <v>13000</v>
      </c>
      <c r="N23" s="4"/>
      <c r="O23" s="4">
        <v>8281313451</v>
      </c>
    </row>
    <row r="24" spans="1:15" x14ac:dyDescent="0.25">
      <c r="A24" s="8">
        <v>44618</v>
      </c>
      <c r="B24" s="4" t="s">
        <v>2425</v>
      </c>
      <c r="C24" s="4"/>
      <c r="D24" s="4" t="s">
        <v>2426</v>
      </c>
      <c r="E24" s="4">
        <v>10000</v>
      </c>
      <c r="F24" s="4"/>
      <c r="G24" s="4" t="s">
        <v>2466</v>
      </c>
      <c r="H24" s="4"/>
      <c r="I24" s="4"/>
      <c r="J24" s="4"/>
      <c r="K24" s="4"/>
      <c r="L24" s="4"/>
      <c r="M24" s="4">
        <v>17800</v>
      </c>
      <c r="N24" s="4"/>
      <c r="O24" s="4"/>
    </row>
    <row r="25" spans="1:15" x14ac:dyDescent="0.25">
      <c r="A25" s="8">
        <v>44618</v>
      </c>
      <c r="B25" s="4" t="s">
        <v>2433</v>
      </c>
      <c r="C25" s="4"/>
      <c r="D25" s="4" t="s">
        <v>2733</v>
      </c>
      <c r="E25" s="4">
        <v>5000</v>
      </c>
      <c r="F25" s="4"/>
      <c r="G25" s="4" t="s">
        <v>2451</v>
      </c>
      <c r="H25" s="4" t="s">
        <v>2452</v>
      </c>
      <c r="I25" s="4" t="s">
        <v>2630</v>
      </c>
      <c r="J25" s="4">
        <v>13100</v>
      </c>
      <c r="K25" s="4"/>
      <c r="L25" s="4"/>
      <c r="M25" s="4">
        <v>24050</v>
      </c>
      <c r="N25" s="4"/>
      <c r="O25" s="4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23"/>
  <sheetViews>
    <sheetView topLeftCell="C1" workbookViewId="0">
      <selection activeCell="B12" sqref="B12"/>
    </sheetView>
  </sheetViews>
  <sheetFormatPr baseColWidth="10" defaultRowHeight="15" x14ac:dyDescent="0.25"/>
  <cols>
    <col min="2" max="2" width="25.5703125" customWidth="1"/>
    <col min="4" max="4" width="31" customWidth="1"/>
    <col min="14" max="14" width="19.85546875" customWidth="1"/>
    <col min="15" max="15" width="11.42578125" customWidth="1"/>
  </cols>
  <sheetData>
    <row r="1" spans="1:15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/>
      <c r="M1" s="71" t="s">
        <v>1216</v>
      </c>
      <c r="N1" s="71" t="s">
        <v>1217</v>
      </c>
      <c r="O1" s="71"/>
    </row>
    <row r="2" spans="1:15" x14ac:dyDescent="0.25">
      <c r="A2" s="8">
        <v>44621</v>
      </c>
      <c r="B2" s="4" t="s">
        <v>2443</v>
      </c>
      <c r="C2" s="4"/>
      <c r="D2" s="4" t="s">
        <v>2890</v>
      </c>
      <c r="E2" s="4">
        <v>4000</v>
      </c>
      <c r="F2" s="4" t="s">
        <v>2528</v>
      </c>
      <c r="G2" s="4" t="s">
        <v>2632</v>
      </c>
      <c r="H2" s="4" t="s">
        <v>2748</v>
      </c>
      <c r="I2" s="4" t="s">
        <v>2851</v>
      </c>
      <c r="J2" s="4" t="s">
        <v>2903</v>
      </c>
      <c r="K2" s="4"/>
      <c r="L2" s="4"/>
      <c r="M2" s="4">
        <v>18800</v>
      </c>
      <c r="N2" s="4"/>
      <c r="O2" s="4" t="s">
        <v>3064</v>
      </c>
    </row>
    <row r="3" spans="1:15" x14ac:dyDescent="0.25">
      <c r="A3" s="8">
        <v>44624</v>
      </c>
      <c r="B3" s="4" t="s">
        <v>2447</v>
      </c>
      <c r="C3" s="4"/>
      <c r="D3" s="4" t="s">
        <v>457</v>
      </c>
      <c r="E3" s="4">
        <v>2250</v>
      </c>
      <c r="F3" s="4" t="s">
        <v>2543</v>
      </c>
      <c r="G3" s="4" t="s">
        <v>2670</v>
      </c>
      <c r="H3" s="4" t="s">
        <v>2766</v>
      </c>
      <c r="I3" s="4" t="s">
        <v>1673</v>
      </c>
      <c r="J3" s="4"/>
      <c r="K3" s="4"/>
      <c r="L3" s="4"/>
      <c r="M3" s="4">
        <v>11250</v>
      </c>
      <c r="N3" s="4"/>
      <c r="O3" s="4"/>
    </row>
    <row r="4" spans="1:15" x14ac:dyDescent="0.25">
      <c r="A4" s="26">
        <v>44625</v>
      </c>
      <c r="B4" s="10" t="s">
        <v>2449</v>
      </c>
      <c r="C4" s="10"/>
      <c r="D4" s="10">
        <v>109</v>
      </c>
      <c r="E4" s="10">
        <v>1500</v>
      </c>
      <c r="F4" s="10"/>
      <c r="G4" s="10"/>
      <c r="H4" s="10"/>
      <c r="I4" s="10"/>
      <c r="J4" s="10"/>
      <c r="K4" s="10"/>
      <c r="L4" s="10"/>
      <c r="M4" s="10">
        <v>19200</v>
      </c>
      <c r="N4" s="10"/>
      <c r="O4" s="10"/>
    </row>
    <row r="5" spans="1:15" x14ac:dyDescent="0.25">
      <c r="A5" s="8">
        <v>44625</v>
      </c>
      <c r="B5" s="4" t="s">
        <v>2455</v>
      </c>
      <c r="C5" s="4"/>
      <c r="D5" s="4" t="s">
        <v>2456</v>
      </c>
      <c r="E5" s="4">
        <v>7800</v>
      </c>
      <c r="F5" s="4" t="s">
        <v>2529</v>
      </c>
      <c r="G5" s="4" t="s">
        <v>2646</v>
      </c>
      <c r="H5" s="4" t="s">
        <v>2722</v>
      </c>
      <c r="I5" s="4">
        <v>2775</v>
      </c>
      <c r="J5" s="4"/>
      <c r="K5" s="4"/>
      <c r="L5" s="4"/>
      <c r="M5" s="4">
        <v>19500</v>
      </c>
      <c r="N5" s="4"/>
      <c r="O5" s="4"/>
    </row>
    <row r="6" spans="1:15" x14ac:dyDescent="0.25">
      <c r="A6" s="8">
        <v>44627</v>
      </c>
      <c r="B6" s="4" t="s">
        <v>2571</v>
      </c>
      <c r="C6" s="4"/>
      <c r="D6" s="4" t="s">
        <v>457</v>
      </c>
      <c r="E6" s="4">
        <v>2250</v>
      </c>
      <c r="F6" s="4" t="s">
        <v>2572</v>
      </c>
      <c r="G6" s="4" t="s">
        <v>2788</v>
      </c>
      <c r="H6" s="4" t="s">
        <v>2881</v>
      </c>
      <c r="I6" s="4"/>
      <c r="J6" s="4"/>
      <c r="K6" s="4"/>
      <c r="L6" s="4"/>
      <c r="M6" s="4">
        <v>12100</v>
      </c>
      <c r="N6" s="4"/>
      <c r="O6" s="4"/>
    </row>
    <row r="7" spans="1:15" x14ac:dyDescent="0.25">
      <c r="A7" s="8">
        <v>44631</v>
      </c>
      <c r="B7" s="4" t="s">
        <v>2843</v>
      </c>
      <c r="C7" s="5">
        <v>44813</v>
      </c>
      <c r="D7" s="4" t="s">
        <v>2675</v>
      </c>
      <c r="E7" s="4">
        <v>1980</v>
      </c>
      <c r="F7" s="4" t="s">
        <v>2569</v>
      </c>
      <c r="G7" s="4" t="s">
        <v>2674</v>
      </c>
      <c r="H7" s="4" t="s">
        <v>2743</v>
      </c>
      <c r="I7" s="4" t="s">
        <v>2854</v>
      </c>
      <c r="J7" s="4" t="s">
        <v>3054</v>
      </c>
      <c r="K7" s="4"/>
      <c r="L7" s="4"/>
      <c r="M7" s="4">
        <v>11250</v>
      </c>
      <c r="N7" s="4">
        <v>8130734288</v>
      </c>
      <c r="O7" s="4"/>
    </row>
    <row r="8" spans="1:15" x14ac:dyDescent="0.25">
      <c r="A8" s="8">
        <v>44632</v>
      </c>
      <c r="B8" s="4" t="s">
        <v>2475</v>
      </c>
      <c r="C8" s="8">
        <v>44848</v>
      </c>
      <c r="D8" s="4" t="s">
        <v>2912</v>
      </c>
      <c r="E8" s="4">
        <v>3780</v>
      </c>
      <c r="F8" s="4" t="s">
        <v>2573</v>
      </c>
      <c r="G8" s="4" t="s">
        <v>2676</v>
      </c>
      <c r="H8" s="4" t="s">
        <v>2785</v>
      </c>
      <c r="I8" s="4" t="s">
        <v>2888</v>
      </c>
      <c r="J8" s="4"/>
      <c r="K8" s="4"/>
      <c r="L8" s="4"/>
      <c r="M8" s="4">
        <v>18900</v>
      </c>
      <c r="N8" s="4"/>
      <c r="O8" s="4"/>
    </row>
    <row r="9" spans="1:15" x14ac:dyDescent="0.25">
      <c r="A9" s="8">
        <v>44632</v>
      </c>
      <c r="B9" s="4" t="s">
        <v>2479</v>
      </c>
      <c r="C9" s="8">
        <v>44815</v>
      </c>
      <c r="D9" s="4" t="s">
        <v>2480</v>
      </c>
      <c r="E9" s="4">
        <v>3000</v>
      </c>
      <c r="F9" s="4" t="s">
        <v>2574</v>
      </c>
      <c r="G9" s="4" t="s">
        <v>2707</v>
      </c>
      <c r="H9" s="4" t="s">
        <v>2783</v>
      </c>
      <c r="I9" s="4" t="s">
        <v>2904</v>
      </c>
      <c r="J9" s="4"/>
      <c r="K9" s="4"/>
      <c r="L9" s="4"/>
      <c r="M9" s="4">
        <v>15000</v>
      </c>
      <c r="N9" s="4">
        <v>8186904883</v>
      </c>
      <c r="O9" s="4"/>
    </row>
    <row r="10" spans="1:15" x14ac:dyDescent="0.25">
      <c r="A10" s="8">
        <v>44635</v>
      </c>
      <c r="B10" s="4" t="s">
        <v>2557</v>
      </c>
      <c r="C10" s="8">
        <v>44751</v>
      </c>
      <c r="D10" s="4" t="s">
        <v>2482</v>
      </c>
      <c r="E10" s="4">
        <v>5000</v>
      </c>
      <c r="F10" s="4" t="s">
        <v>2483</v>
      </c>
      <c r="G10" s="4" t="s">
        <v>2554</v>
      </c>
      <c r="H10" s="4" t="s">
        <v>2706</v>
      </c>
      <c r="I10" s="4" t="s">
        <v>2862</v>
      </c>
      <c r="J10" s="4"/>
      <c r="K10" s="4"/>
      <c r="L10" s="4"/>
      <c r="M10" s="4">
        <v>16300</v>
      </c>
      <c r="N10" s="4"/>
      <c r="O10" s="4"/>
    </row>
    <row r="11" spans="1:15" x14ac:dyDescent="0.25">
      <c r="A11" s="8">
        <v>44636</v>
      </c>
      <c r="B11" s="4" t="s">
        <v>2484</v>
      </c>
      <c r="C11" s="8">
        <v>44922</v>
      </c>
      <c r="D11" s="4" t="s">
        <v>2354</v>
      </c>
      <c r="E11" s="4">
        <v>2000</v>
      </c>
      <c r="F11" s="4" t="s">
        <v>2603</v>
      </c>
      <c r="G11" s="4" t="s">
        <v>2734</v>
      </c>
      <c r="H11" s="4" t="s">
        <v>2790</v>
      </c>
      <c r="I11" s="4" t="s">
        <v>2859</v>
      </c>
      <c r="J11" s="4"/>
      <c r="K11" s="4"/>
      <c r="L11" s="4"/>
      <c r="M11" s="4">
        <v>7650</v>
      </c>
      <c r="N11" s="4"/>
      <c r="O11" s="4"/>
    </row>
    <row r="12" spans="1:15" x14ac:dyDescent="0.25">
      <c r="A12" s="8">
        <v>44637</v>
      </c>
      <c r="B12" s="4" t="s">
        <v>2489</v>
      </c>
      <c r="C12" s="8">
        <v>44910</v>
      </c>
      <c r="D12" s="4" t="s">
        <v>3026</v>
      </c>
      <c r="E12" s="4">
        <v>2000</v>
      </c>
      <c r="F12" s="4" t="s">
        <v>2592</v>
      </c>
      <c r="G12" s="4" t="s">
        <v>2718</v>
      </c>
      <c r="H12" s="4" t="s">
        <v>2948</v>
      </c>
      <c r="I12" s="4" t="s">
        <v>3011</v>
      </c>
      <c r="J12" s="4" t="s">
        <v>3011</v>
      </c>
      <c r="K12" s="4" t="s">
        <v>3070</v>
      </c>
      <c r="L12" s="4" t="s">
        <v>3203</v>
      </c>
      <c r="M12" s="4">
        <v>17770</v>
      </c>
      <c r="N12" s="51">
        <v>8182805417</v>
      </c>
      <c r="O12" s="51"/>
    </row>
    <row r="13" spans="1:15" x14ac:dyDescent="0.25">
      <c r="A13" s="8">
        <v>44637</v>
      </c>
      <c r="B13" s="4" t="s">
        <v>2490</v>
      </c>
      <c r="C13" s="8">
        <v>44751</v>
      </c>
      <c r="D13" s="4" t="s">
        <v>2491</v>
      </c>
      <c r="E13" s="4">
        <v>3500</v>
      </c>
      <c r="F13" s="4" t="s">
        <v>2492</v>
      </c>
      <c r="G13" s="4" t="s">
        <v>2613</v>
      </c>
      <c r="H13" s="4" t="s">
        <v>2880</v>
      </c>
      <c r="I13" s="4"/>
      <c r="J13" s="4"/>
      <c r="K13" s="4"/>
      <c r="L13" s="4"/>
      <c r="M13" s="4">
        <v>8850</v>
      </c>
      <c r="N13" s="4"/>
      <c r="O13" s="4"/>
    </row>
    <row r="14" spans="1:15" x14ac:dyDescent="0.25">
      <c r="A14" s="8">
        <v>44637</v>
      </c>
      <c r="B14" s="4" t="s">
        <v>2493</v>
      </c>
      <c r="C14" s="4"/>
      <c r="D14" s="4" t="s">
        <v>2606</v>
      </c>
      <c r="E14" s="4">
        <v>2000</v>
      </c>
      <c r="F14" s="4" t="s">
        <v>2607</v>
      </c>
      <c r="G14" s="4" t="s">
        <v>2827</v>
      </c>
      <c r="H14" s="4" t="s">
        <v>2857</v>
      </c>
      <c r="I14" s="4" t="s">
        <v>2914</v>
      </c>
      <c r="J14" s="4"/>
      <c r="K14" s="4"/>
      <c r="L14" s="4"/>
      <c r="M14" s="4">
        <v>13050</v>
      </c>
      <c r="N14" s="4"/>
      <c r="O14" s="4"/>
    </row>
    <row r="15" spans="1:15" x14ac:dyDescent="0.25">
      <c r="A15" s="8">
        <v>44638</v>
      </c>
      <c r="B15" s="4" t="s">
        <v>2496</v>
      </c>
      <c r="C15" s="8">
        <v>44842</v>
      </c>
      <c r="D15" s="4" t="s">
        <v>2497</v>
      </c>
      <c r="E15" s="4">
        <v>1500</v>
      </c>
      <c r="F15" s="4" t="s">
        <v>2615</v>
      </c>
      <c r="G15" s="4" t="s">
        <v>2687</v>
      </c>
      <c r="H15" s="4" t="s">
        <v>2799</v>
      </c>
      <c r="I15" s="4" t="s">
        <v>2893</v>
      </c>
      <c r="J15" s="4"/>
      <c r="K15" s="4"/>
      <c r="L15" s="4"/>
      <c r="M15" s="4">
        <v>7500</v>
      </c>
      <c r="N15" s="4"/>
      <c r="O15" s="4"/>
    </row>
    <row r="16" spans="1:15" x14ac:dyDescent="0.25">
      <c r="A16" s="8">
        <v>44639</v>
      </c>
      <c r="B16" s="4" t="s">
        <v>2499</v>
      </c>
      <c r="C16" s="4"/>
      <c r="D16" s="4" t="s">
        <v>217</v>
      </c>
      <c r="E16" s="4">
        <v>10800</v>
      </c>
      <c r="F16" s="4"/>
      <c r="G16" s="4"/>
      <c r="H16" s="4"/>
      <c r="I16" s="4"/>
      <c r="J16" s="4"/>
      <c r="K16" s="4"/>
      <c r="L16" s="4"/>
      <c r="M16" s="4">
        <v>10800</v>
      </c>
      <c r="N16" s="4"/>
      <c r="O16" s="4"/>
    </row>
    <row r="17" spans="1:15" x14ac:dyDescent="0.25">
      <c r="A17" s="8">
        <v>44641</v>
      </c>
      <c r="B17" s="4" t="s">
        <v>2504</v>
      </c>
      <c r="C17" s="4"/>
      <c r="D17" s="4" t="s">
        <v>3076</v>
      </c>
      <c r="E17" s="4">
        <v>4100</v>
      </c>
      <c r="F17" s="4" t="s">
        <v>2616</v>
      </c>
      <c r="G17" s="4" t="s">
        <v>2677</v>
      </c>
      <c r="H17" s="4" t="s">
        <v>2807</v>
      </c>
      <c r="I17" s="4" t="s">
        <v>3047</v>
      </c>
      <c r="J17" s="4"/>
      <c r="K17" s="4"/>
      <c r="L17" s="4"/>
      <c r="M17" s="4">
        <v>21450</v>
      </c>
      <c r="N17" s="4"/>
      <c r="O17" s="4"/>
    </row>
    <row r="18" spans="1:15" x14ac:dyDescent="0.25">
      <c r="A18" s="8">
        <v>44643</v>
      </c>
      <c r="B18" s="4" t="s">
        <v>2510</v>
      </c>
      <c r="C18" s="4"/>
      <c r="D18" s="4" t="s">
        <v>2511</v>
      </c>
      <c r="E18" s="4">
        <v>1620</v>
      </c>
      <c r="F18" s="4" t="s">
        <v>2550</v>
      </c>
      <c r="G18" s="4"/>
      <c r="H18" s="4"/>
      <c r="I18" s="4"/>
      <c r="J18" s="4"/>
      <c r="K18" s="4"/>
      <c r="L18" s="4"/>
      <c r="M18" s="4">
        <v>8100</v>
      </c>
      <c r="N18" s="4"/>
      <c r="O18" s="4"/>
    </row>
    <row r="19" spans="1:15" x14ac:dyDescent="0.25">
      <c r="A19" s="8">
        <v>44646</v>
      </c>
      <c r="B19" s="4" t="s">
        <v>2844</v>
      </c>
      <c r="C19" s="4"/>
      <c r="D19" s="4" t="s">
        <v>2882</v>
      </c>
      <c r="E19" s="4">
        <v>2430</v>
      </c>
      <c r="F19" s="4" t="s">
        <v>2590</v>
      </c>
      <c r="G19" s="4" t="s">
        <v>2714</v>
      </c>
      <c r="H19" s="4" t="s">
        <v>2845</v>
      </c>
      <c r="I19" s="4">
        <v>2430</v>
      </c>
      <c r="J19" s="4" t="s">
        <v>2924</v>
      </c>
      <c r="K19" s="4"/>
      <c r="L19" s="4" t="s">
        <v>3085</v>
      </c>
      <c r="M19" s="4">
        <v>14450</v>
      </c>
      <c r="N19" s="4" t="s">
        <v>3086</v>
      </c>
      <c r="O19" s="4"/>
    </row>
    <row r="20" spans="1:15" x14ac:dyDescent="0.25">
      <c r="A20" s="8">
        <v>44646</v>
      </c>
      <c r="B20" s="4" t="s">
        <v>2589</v>
      </c>
      <c r="C20" s="8">
        <v>44842</v>
      </c>
      <c r="D20" s="4" t="s">
        <v>3008</v>
      </c>
      <c r="E20" s="4">
        <v>3960</v>
      </c>
      <c r="F20" s="4" t="s">
        <v>2620</v>
      </c>
      <c r="G20" s="4" t="s">
        <v>2693</v>
      </c>
      <c r="H20" s="4" t="s">
        <v>2819</v>
      </c>
      <c r="I20" s="4"/>
      <c r="J20" s="4" t="s">
        <v>2981</v>
      </c>
      <c r="K20" s="4"/>
      <c r="L20" s="4"/>
      <c r="M20" s="4">
        <v>19800</v>
      </c>
      <c r="N20" s="4"/>
      <c r="O20" s="4"/>
    </row>
    <row r="21" spans="1:15" x14ac:dyDescent="0.25">
      <c r="A21" s="8">
        <v>44646</v>
      </c>
      <c r="B21" s="4" t="s">
        <v>2522</v>
      </c>
      <c r="C21" s="4"/>
      <c r="D21" s="4" t="s">
        <v>2523</v>
      </c>
      <c r="E21" s="4">
        <v>3570</v>
      </c>
      <c r="F21" s="4" t="s">
        <v>2638</v>
      </c>
      <c r="G21" s="4" t="s">
        <v>2808</v>
      </c>
      <c r="H21" s="4" t="s">
        <v>2974</v>
      </c>
      <c r="I21" s="4"/>
      <c r="J21" s="4"/>
      <c r="K21" s="4"/>
      <c r="L21" s="4"/>
      <c r="M21" s="4">
        <v>18700</v>
      </c>
      <c r="N21" s="4" t="s">
        <v>2942</v>
      </c>
      <c r="O21" s="4"/>
    </row>
    <row r="22" spans="1:15" x14ac:dyDescent="0.25">
      <c r="A22" s="5">
        <v>44648</v>
      </c>
      <c r="B22" s="4" t="s">
        <v>2593</v>
      </c>
      <c r="C22" s="4"/>
      <c r="D22" s="4" t="s">
        <v>2525</v>
      </c>
      <c r="E22" s="4">
        <v>7760</v>
      </c>
      <c r="F22" s="4" t="s">
        <v>2598</v>
      </c>
      <c r="G22" s="4" t="s">
        <v>2642</v>
      </c>
      <c r="H22" s="4"/>
      <c r="I22" s="4"/>
      <c r="J22" s="4"/>
      <c r="K22" s="4"/>
      <c r="L22" s="4"/>
      <c r="M22" s="4">
        <v>19400</v>
      </c>
      <c r="N22" s="4"/>
      <c r="O22" s="4" t="s">
        <v>1891</v>
      </c>
    </row>
    <row r="23" spans="1:15" x14ac:dyDescent="0.25">
      <c r="A23" s="5">
        <v>44648</v>
      </c>
      <c r="B23" s="4" t="s">
        <v>2617</v>
      </c>
      <c r="C23" s="4"/>
      <c r="D23" s="4" t="s">
        <v>3038</v>
      </c>
      <c r="E23" s="4">
        <v>1800</v>
      </c>
      <c r="F23" s="4" t="s">
        <v>2618</v>
      </c>
      <c r="G23" s="4" t="s">
        <v>2751</v>
      </c>
      <c r="H23" s="4" t="s">
        <v>2889</v>
      </c>
      <c r="I23" s="4" t="s">
        <v>2922</v>
      </c>
      <c r="J23" s="4" t="s">
        <v>3037</v>
      </c>
      <c r="K23" s="4"/>
      <c r="L23" s="4"/>
      <c r="M23" s="4">
        <v>9700</v>
      </c>
      <c r="N23" s="4"/>
      <c r="O23" s="4" t="s">
        <v>1891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20"/>
  <sheetViews>
    <sheetView workbookViewId="0">
      <selection activeCell="D4" sqref="D4"/>
    </sheetView>
  </sheetViews>
  <sheetFormatPr baseColWidth="10" defaultRowHeight="15" x14ac:dyDescent="0.25"/>
  <cols>
    <col min="2" max="2" width="25.7109375" customWidth="1"/>
    <col min="4" max="4" width="32.85546875" customWidth="1"/>
    <col min="12" max="12" width="13" customWidth="1"/>
    <col min="15" max="15" width="26" customWidth="1"/>
  </cols>
  <sheetData>
    <row r="1" spans="1:15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/>
      <c r="M1" s="71" t="s">
        <v>1216</v>
      </c>
      <c r="N1" s="71" t="s">
        <v>1217</v>
      </c>
      <c r="O1" s="71"/>
    </row>
    <row r="2" spans="1:15" x14ac:dyDescent="0.25">
      <c r="A2" s="8">
        <v>44653</v>
      </c>
      <c r="B2" s="4" t="s">
        <v>2739</v>
      </c>
      <c r="C2" s="8">
        <v>44878</v>
      </c>
      <c r="D2" s="4" t="s">
        <v>2770</v>
      </c>
      <c r="E2" s="4">
        <v>3240</v>
      </c>
      <c r="F2" s="4" t="s">
        <v>2649</v>
      </c>
      <c r="G2" s="4" t="s">
        <v>2736</v>
      </c>
      <c r="H2" s="4" t="s">
        <v>2771</v>
      </c>
      <c r="I2" s="4" t="s">
        <v>2813</v>
      </c>
      <c r="J2" s="4" t="s">
        <v>2928</v>
      </c>
      <c r="K2" s="4" t="s">
        <v>3002</v>
      </c>
      <c r="L2" s="4"/>
      <c r="M2" s="4">
        <v>18700</v>
      </c>
      <c r="N2" s="4">
        <v>8120307417</v>
      </c>
      <c r="O2" s="4" t="s">
        <v>3042</v>
      </c>
    </row>
    <row r="3" spans="1:15" x14ac:dyDescent="0.25">
      <c r="A3" s="8">
        <v>44653</v>
      </c>
      <c r="B3" s="4" t="s">
        <v>2533</v>
      </c>
      <c r="C3" s="8">
        <v>44862</v>
      </c>
      <c r="D3" s="4" t="s">
        <v>2521</v>
      </c>
      <c r="E3" s="4">
        <v>2430</v>
      </c>
      <c r="F3" s="4" t="s">
        <v>2631</v>
      </c>
      <c r="G3" s="4" t="s">
        <v>2754</v>
      </c>
      <c r="H3" s="4" t="s">
        <v>2836</v>
      </c>
      <c r="I3" s="4" t="s">
        <v>1761</v>
      </c>
      <c r="J3" s="4">
        <v>570</v>
      </c>
      <c r="K3" s="4"/>
      <c r="L3" s="4"/>
      <c r="M3" s="4">
        <v>13000</v>
      </c>
      <c r="N3" s="1">
        <v>8112862589</v>
      </c>
      <c r="O3" s="1"/>
    </row>
    <row r="4" spans="1:15" x14ac:dyDescent="0.25">
      <c r="A4" s="8">
        <v>44653</v>
      </c>
      <c r="B4" s="4" t="s">
        <v>2534</v>
      </c>
      <c r="C4" s="4"/>
      <c r="D4" s="4" t="s">
        <v>2953</v>
      </c>
      <c r="E4" s="4">
        <v>1620</v>
      </c>
      <c r="F4" s="4">
        <v>1620</v>
      </c>
      <c r="G4" s="4" t="s">
        <v>2802</v>
      </c>
      <c r="H4" s="4" t="s">
        <v>2853</v>
      </c>
      <c r="I4" s="4" t="s">
        <v>2998</v>
      </c>
      <c r="J4" s="4"/>
      <c r="K4" s="4" t="s">
        <v>3217</v>
      </c>
      <c r="L4" s="4"/>
      <c r="M4" s="4">
        <v>12150</v>
      </c>
      <c r="N4" s="36"/>
      <c r="O4" s="4" t="s">
        <v>2954</v>
      </c>
    </row>
    <row r="5" spans="1:15" x14ac:dyDescent="0.25">
      <c r="A5" s="26">
        <v>44655</v>
      </c>
      <c r="B5" s="10" t="s">
        <v>2535</v>
      </c>
      <c r="C5" s="10"/>
      <c r="D5" s="10" t="s">
        <v>622</v>
      </c>
      <c r="E5" s="10">
        <v>1620</v>
      </c>
      <c r="F5" s="10"/>
      <c r="G5" s="10"/>
      <c r="H5" s="10"/>
      <c r="I5" s="10"/>
      <c r="J5" s="10"/>
      <c r="K5" s="10"/>
      <c r="L5" s="10"/>
      <c r="M5" s="10">
        <v>8100</v>
      </c>
      <c r="N5" s="10"/>
      <c r="O5" s="10"/>
    </row>
    <row r="6" spans="1:15" ht="19.5" customHeight="1" x14ac:dyDescent="0.25">
      <c r="A6" s="8">
        <v>44657</v>
      </c>
      <c r="B6" s="4" t="s">
        <v>2536</v>
      </c>
      <c r="C6" s="4"/>
      <c r="D6" s="4" t="s">
        <v>2537</v>
      </c>
      <c r="E6" s="4">
        <v>2000</v>
      </c>
      <c r="F6" s="4">
        <v>2100</v>
      </c>
      <c r="G6" s="4"/>
      <c r="H6" s="4"/>
      <c r="I6" s="4"/>
      <c r="J6" s="4"/>
      <c r="K6" s="4"/>
      <c r="L6" s="4"/>
      <c r="M6" s="4">
        <v>4000</v>
      </c>
      <c r="N6" s="4"/>
      <c r="O6" s="4"/>
    </row>
    <row r="7" spans="1:15" ht="25.5" customHeight="1" x14ac:dyDescent="0.25">
      <c r="A7" s="8">
        <v>44659</v>
      </c>
      <c r="B7" s="4" t="s">
        <v>2563</v>
      </c>
      <c r="C7" s="4"/>
      <c r="D7" s="40" t="s">
        <v>2877</v>
      </c>
      <c r="E7" s="4">
        <v>4300</v>
      </c>
      <c r="F7" s="4" t="s">
        <v>2654</v>
      </c>
      <c r="G7" s="4" t="s">
        <v>2757</v>
      </c>
      <c r="H7" s="4" t="s">
        <v>2876</v>
      </c>
      <c r="I7" s="4" t="s">
        <v>2999</v>
      </c>
      <c r="J7" s="4"/>
      <c r="K7" s="4"/>
      <c r="L7" s="4"/>
      <c r="M7" s="4">
        <v>22200</v>
      </c>
      <c r="N7" s="4"/>
      <c r="O7" s="4"/>
    </row>
    <row r="8" spans="1:15" x14ac:dyDescent="0.25">
      <c r="A8" s="8">
        <v>44662</v>
      </c>
      <c r="B8" s="4" t="s">
        <v>2566</v>
      </c>
      <c r="C8" s="4"/>
      <c r="D8" s="4" t="s">
        <v>2567</v>
      </c>
      <c r="E8" s="4">
        <v>1000</v>
      </c>
      <c r="F8" s="4" t="s">
        <v>2610</v>
      </c>
      <c r="G8" s="4" t="s">
        <v>2723</v>
      </c>
      <c r="H8" s="4" t="s">
        <v>2810</v>
      </c>
      <c r="I8" s="4" t="s">
        <v>2947</v>
      </c>
      <c r="J8" s="4" t="s">
        <v>3016</v>
      </c>
      <c r="K8" s="4"/>
      <c r="L8" s="4"/>
      <c r="M8" s="4">
        <v>17150</v>
      </c>
      <c r="N8" s="4"/>
      <c r="O8" s="4"/>
    </row>
    <row r="9" spans="1:15" x14ac:dyDescent="0.25">
      <c r="A9" s="8">
        <v>44665</v>
      </c>
      <c r="B9" s="4" t="s">
        <v>2576</v>
      </c>
      <c r="C9" s="4"/>
      <c r="D9" s="4" t="s">
        <v>1413</v>
      </c>
      <c r="E9" s="4">
        <v>3240</v>
      </c>
      <c r="F9" s="4" t="s">
        <v>2691</v>
      </c>
      <c r="G9" s="4" t="s">
        <v>2792</v>
      </c>
      <c r="H9" s="4" t="s">
        <v>2886</v>
      </c>
      <c r="I9" s="4" t="s">
        <v>2967</v>
      </c>
      <c r="J9" s="4"/>
      <c r="K9" s="4"/>
      <c r="L9" s="4"/>
      <c r="M9" s="4">
        <v>16200</v>
      </c>
      <c r="N9" s="4"/>
      <c r="O9" s="4"/>
    </row>
    <row r="10" spans="1:15" x14ac:dyDescent="0.25">
      <c r="A10" s="7">
        <v>44667</v>
      </c>
      <c r="B10" s="4" t="s">
        <v>2584</v>
      </c>
      <c r="C10" s="8">
        <v>45221</v>
      </c>
      <c r="D10" s="4" t="s">
        <v>3731</v>
      </c>
      <c r="E10" s="4">
        <v>3750</v>
      </c>
      <c r="F10" s="4" t="s">
        <v>2681</v>
      </c>
      <c r="G10" s="4" t="s">
        <v>1620</v>
      </c>
      <c r="H10" s="4" t="s">
        <v>2908</v>
      </c>
      <c r="I10" s="4" t="s">
        <v>3009</v>
      </c>
      <c r="J10" s="4" t="s">
        <v>3083</v>
      </c>
      <c r="K10" s="4" t="s">
        <v>3132</v>
      </c>
      <c r="L10" s="4" t="s">
        <v>3565</v>
      </c>
      <c r="M10" s="4">
        <v>22600</v>
      </c>
      <c r="N10" s="4">
        <v>8127598346</v>
      </c>
      <c r="O10" s="4"/>
    </row>
    <row r="11" spans="1:15" x14ac:dyDescent="0.25">
      <c r="A11" s="5">
        <v>44671</v>
      </c>
      <c r="B11" s="4" t="s">
        <v>2594</v>
      </c>
      <c r="C11" s="8">
        <v>44884</v>
      </c>
      <c r="D11" s="4" t="s">
        <v>3055</v>
      </c>
      <c r="E11" s="4">
        <v>4320</v>
      </c>
      <c r="F11" s="4" t="s">
        <v>2712</v>
      </c>
      <c r="G11" s="4" t="s">
        <v>2815</v>
      </c>
      <c r="H11" s="4" t="s">
        <v>2913</v>
      </c>
      <c r="I11" s="4" t="s">
        <v>3013</v>
      </c>
      <c r="J11" s="4" t="s">
        <v>3056</v>
      </c>
      <c r="K11" s="4"/>
      <c r="L11" s="4"/>
      <c r="M11" s="4">
        <v>23600</v>
      </c>
      <c r="N11" s="4"/>
      <c r="O11" s="4"/>
    </row>
    <row r="12" spans="1:15" x14ac:dyDescent="0.25">
      <c r="A12" s="5">
        <v>44671</v>
      </c>
      <c r="B12" s="4" t="s">
        <v>2595</v>
      </c>
      <c r="C12" s="4"/>
      <c r="D12" s="4" t="s">
        <v>774</v>
      </c>
      <c r="E12" s="4">
        <v>7800</v>
      </c>
      <c r="F12" s="4" t="s">
        <v>2740</v>
      </c>
      <c r="G12" s="4">
        <v>8800</v>
      </c>
      <c r="H12" s="4"/>
      <c r="I12" s="4"/>
      <c r="J12" s="4"/>
      <c r="K12" s="4"/>
      <c r="L12" s="4"/>
      <c r="M12" s="4">
        <v>19500</v>
      </c>
      <c r="N12" s="4"/>
      <c r="O12" s="4"/>
    </row>
    <row r="13" spans="1:15" x14ac:dyDescent="0.25">
      <c r="A13" s="5">
        <v>44674</v>
      </c>
      <c r="B13" s="4" t="s">
        <v>2596</v>
      </c>
      <c r="C13" s="4"/>
      <c r="D13" s="4" t="s">
        <v>2940</v>
      </c>
      <c r="E13" s="4">
        <v>2750</v>
      </c>
      <c r="F13" s="4" t="s">
        <v>2719</v>
      </c>
      <c r="G13" s="4" t="s">
        <v>2826</v>
      </c>
      <c r="H13" s="4" t="s">
        <v>2952</v>
      </c>
      <c r="I13" s="4" t="s">
        <v>3052</v>
      </c>
      <c r="J13" s="4" t="s">
        <v>3003</v>
      </c>
      <c r="K13" s="4"/>
      <c r="L13" s="4"/>
      <c r="M13" s="4">
        <v>21400</v>
      </c>
      <c r="N13" s="4"/>
      <c r="O13" s="4"/>
    </row>
    <row r="14" spans="1:15" x14ac:dyDescent="0.25">
      <c r="A14" s="5">
        <v>44674</v>
      </c>
      <c r="B14" s="4" t="s">
        <v>2624</v>
      </c>
      <c r="C14" s="4"/>
      <c r="D14" s="4" t="s">
        <v>2597</v>
      </c>
      <c r="E14" s="4">
        <v>7800</v>
      </c>
      <c r="F14" s="4" t="s">
        <v>2811</v>
      </c>
      <c r="G14" s="4" t="s">
        <v>2870</v>
      </c>
      <c r="H14" s="4"/>
      <c r="I14" s="4"/>
      <c r="J14" s="4"/>
      <c r="K14" s="4"/>
      <c r="L14" s="4"/>
      <c r="M14" s="4">
        <v>19500</v>
      </c>
      <c r="N14" s="4"/>
      <c r="O14" s="4"/>
    </row>
    <row r="15" spans="1:15" x14ac:dyDescent="0.25">
      <c r="A15" s="5">
        <v>44677</v>
      </c>
      <c r="B15" s="4" t="s">
        <v>2627</v>
      </c>
      <c r="C15" s="8">
        <v>44947</v>
      </c>
      <c r="D15" s="4" t="s">
        <v>2628</v>
      </c>
      <c r="E15" s="4">
        <v>4130</v>
      </c>
      <c r="F15" s="4" t="s">
        <v>2703</v>
      </c>
      <c r="G15" s="4" t="s">
        <v>2812</v>
      </c>
      <c r="H15" s="4" t="s">
        <v>2917</v>
      </c>
      <c r="I15" s="4" t="s">
        <v>3020</v>
      </c>
      <c r="J15" s="4"/>
      <c r="K15" s="4"/>
      <c r="L15" s="4"/>
      <c r="M15" s="4">
        <v>20650</v>
      </c>
      <c r="N15" s="4"/>
      <c r="O15" s="4"/>
    </row>
    <row r="16" spans="1:15" x14ac:dyDescent="0.25">
      <c r="A16" s="5">
        <v>44681</v>
      </c>
      <c r="B16" s="4" t="s">
        <v>2716</v>
      </c>
      <c r="C16" s="4"/>
      <c r="D16" s="4" t="s">
        <v>2915</v>
      </c>
      <c r="E16" s="4">
        <v>3240</v>
      </c>
      <c r="F16" s="4" t="s">
        <v>2809</v>
      </c>
      <c r="G16" s="4" t="s">
        <v>2916</v>
      </c>
      <c r="H16" s="4" t="s">
        <v>2968</v>
      </c>
      <c r="I16" s="4" t="s">
        <v>2969</v>
      </c>
      <c r="J16" s="4"/>
      <c r="K16" s="4"/>
      <c r="L16" s="4"/>
      <c r="M16" s="4">
        <v>19400</v>
      </c>
      <c r="N16" s="4"/>
      <c r="O16" s="4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54CF-7749-41D3-9FA1-5B9E054248DA}">
  <dimension ref="A1"/>
  <sheetViews>
    <sheetView topLeftCell="B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6"/>
  <sheetViews>
    <sheetView topLeftCell="A7" workbookViewId="0">
      <selection activeCell="B17" sqref="B17"/>
    </sheetView>
  </sheetViews>
  <sheetFormatPr baseColWidth="10" defaultRowHeight="15" x14ac:dyDescent="0.25"/>
  <cols>
    <col min="2" max="2" width="27.42578125" customWidth="1"/>
    <col min="4" max="4" width="32.85546875" customWidth="1"/>
  </cols>
  <sheetData>
    <row r="1" spans="1:13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 t="s">
        <v>1216</v>
      </c>
      <c r="L1" s="71" t="s">
        <v>1217</v>
      </c>
      <c r="M1" s="71"/>
    </row>
    <row r="2" spans="1:13" x14ac:dyDescent="0.25">
      <c r="A2" s="8">
        <v>44683</v>
      </c>
      <c r="B2" s="4" t="s">
        <v>2648</v>
      </c>
      <c r="C2" s="4"/>
      <c r="D2" s="4" t="s">
        <v>2750</v>
      </c>
      <c r="E2" s="4">
        <v>4250</v>
      </c>
      <c r="F2" s="4" t="s">
        <v>2749</v>
      </c>
      <c r="G2" s="4" t="s">
        <v>2821</v>
      </c>
      <c r="H2" s="4"/>
      <c r="I2" s="4"/>
      <c r="J2" s="4"/>
      <c r="K2" s="4">
        <v>9250</v>
      </c>
      <c r="L2" s="4"/>
      <c r="M2" s="4" t="s">
        <v>2660</v>
      </c>
    </row>
    <row r="3" spans="1:13" x14ac:dyDescent="0.25">
      <c r="A3" s="8">
        <v>44688</v>
      </c>
      <c r="B3" s="4" t="s">
        <v>2653</v>
      </c>
      <c r="C3" s="4"/>
      <c r="D3" s="4" t="s">
        <v>2979</v>
      </c>
      <c r="E3" s="4">
        <v>4000</v>
      </c>
      <c r="F3" s="4" t="s">
        <v>2863</v>
      </c>
      <c r="G3" s="4" t="s">
        <v>2978</v>
      </c>
      <c r="H3" s="4" t="s">
        <v>3033</v>
      </c>
      <c r="I3" s="4"/>
      <c r="J3" s="4"/>
      <c r="K3" s="4">
        <v>23250</v>
      </c>
      <c r="L3" s="4"/>
      <c r="M3" s="4"/>
    </row>
    <row r="4" spans="1:13" x14ac:dyDescent="0.25">
      <c r="A4" s="8">
        <v>44688</v>
      </c>
      <c r="B4" s="4" t="s">
        <v>2655</v>
      </c>
      <c r="C4" s="4"/>
      <c r="D4" s="4" t="s">
        <v>941</v>
      </c>
      <c r="E4" s="4">
        <v>3000</v>
      </c>
      <c r="F4" s="4" t="s">
        <v>2721</v>
      </c>
      <c r="G4" s="4" t="s">
        <v>2839</v>
      </c>
      <c r="H4" s="4"/>
      <c r="I4" s="4"/>
      <c r="J4" s="4"/>
      <c r="K4" s="4">
        <v>16200</v>
      </c>
      <c r="L4" s="4"/>
      <c r="M4" s="4"/>
    </row>
    <row r="5" spans="1:13" x14ac:dyDescent="0.25">
      <c r="A5" s="8">
        <v>44688</v>
      </c>
      <c r="B5" s="4" t="s">
        <v>2659</v>
      </c>
      <c r="C5" s="4"/>
      <c r="D5" s="4" t="s">
        <v>2987</v>
      </c>
      <c r="E5" s="4">
        <v>4170</v>
      </c>
      <c r="F5" s="4" t="s">
        <v>2758</v>
      </c>
      <c r="G5" s="4" t="s">
        <v>2834</v>
      </c>
      <c r="H5" s="4" t="s">
        <v>2962</v>
      </c>
      <c r="I5" s="4" t="s">
        <v>2988</v>
      </c>
      <c r="J5" s="4" t="s">
        <v>3050</v>
      </c>
      <c r="K5" s="4">
        <v>22100</v>
      </c>
      <c r="L5" s="4"/>
      <c r="M5" s="4"/>
    </row>
    <row r="6" spans="1:13" x14ac:dyDescent="0.25">
      <c r="A6" s="8">
        <v>44688</v>
      </c>
      <c r="B6" s="4" t="s">
        <v>2662</v>
      </c>
      <c r="C6" s="4"/>
      <c r="D6" s="4" t="s">
        <v>2663</v>
      </c>
      <c r="E6" s="4">
        <v>3250</v>
      </c>
      <c r="F6" s="4" t="s">
        <v>2891</v>
      </c>
      <c r="G6" s="4" t="s">
        <v>3015</v>
      </c>
      <c r="H6" s="4" t="s">
        <v>3059</v>
      </c>
      <c r="I6" s="4" t="s">
        <v>3093</v>
      </c>
      <c r="J6" s="4"/>
      <c r="K6" s="4">
        <v>17050</v>
      </c>
      <c r="L6" s="4"/>
      <c r="M6" s="4"/>
    </row>
    <row r="7" spans="1:13" x14ac:dyDescent="0.25">
      <c r="A7" s="8">
        <v>44688</v>
      </c>
      <c r="B7" s="4" t="s">
        <v>2664</v>
      </c>
      <c r="C7" s="4"/>
      <c r="D7" s="4" t="s">
        <v>2521</v>
      </c>
      <c r="E7" s="4">
        <v>3700</v>
      </c>
      <c r="F7" s="4" t="s">
        <v>2678</v>
      </c>
      <c r="G7" s="4" t="s">
        <v>2765</v>
      </c>
      <c r="H7" s="4" t="s">
        <v>2872</v>
      </c>
      <c r="I7" s="4"/>
      <c r="J7" s="4"/>
      <c r="K7" s="4">
        <v>13500</v>
      </c>
      <c r="L7" s="4"/>
      <c r="M7" s="4"/>
    </row>
    <row r="8" spans="1:13" x14ac:dyDescent="0.25">
      <c r="A8" s="7">
        <v>44688</v>
      </c>
      <c r="B8" s="4" t="s">
        <v>2665</v>
      </c>
      <c r="C8" s="4"/>
      <c r="D8" s="4" t="s">
        <v>2949</v>
      </c>
      <c r="E8" s="4">
        <v>2700</v>
      </c>
      <c r="F8" s="4" t="s">
        <v>2769</v>
      </c>
      <c r="G8" s="4" t="s">
        <v>2858</v>
      </c>
      <c r="H8" s="4" t="s">
        <v>2950</v>
      </c>
      <c r="I8" s="4" t="s">
        <v>3136</v>
      </c>
      <c r="J8" s="4"/>
      <c r="K8" s="4">
        <v>13500</v>
      </c>
      <c r="L8" s="4"/>
      <c r="M8" s="4" t="s">
        <v>3061</v>
      </c>
    </row>
    <row r="9" spans="1:13" x14ac:dyDescent="0.25">
      <c r="A9" s="8">
        <v>44695</v>
      </c>
      <c r="B9" s="4" t="s">
        <v>2679</v>
      </c>
      <c r="C9" s="4"/>
      <c r="D9" s="4" t="s">
        <v>2680</v>
      </c>
      <c r="E9" s="4">
        <v>6000</v>
      </c>
      <c r="F9" s="4" t="s">
        <v>2789</v>
      </c>
      <c r="G9" s="4">
        <v>3300</v>
      </c>
      <c r="H9" s="4"/>
      <c r="I9" s="4"/>
      <c r="J9" s="4"/>
      <c r="K9" s="4">
        <v>12400</v>
      </c>
      <c r="L9" s="4"/>
      <c r="M9" s="4"/>
    </row>
    <row r="10" spans="1:13" x14ac:dyDescent="0.25">
      <c r="A10" s="8">
        <v>44695</v>
      </c>
      <c r="B10" s="4" t="s">
        <v>2684</v>
      </c>
      <c r="C10" s="4"/>
      <c r="D10" s="4" t="s">
        <v>3142</v>
      </c>
      <c r="E10" s="4">
        <v>4400</v>
      </c>
      <c r="F10" s="4" t="s">
        <v>3023</v>
      </c>
      <c r="G10" s="4" t="s">
        <v>3144</v>
      </c>
      <c r="H10" s="4" t="s">
        <v>3403</v>
      </c>
      <c r="I10" s="4"/>
      <c r="J10" s="4"/>
      <c r="K10" s="4">
        <v>16700</v>
      </c>
      <c r="L10" s="4" t="s">
        <v>3143</v>
      </c>
      <c r="M10" s="4"/>
    </row>
    <row r="11" spans="1:13" x14ac:dyDescent="0.25">
      <c r="A11" s="8">
        <v>44695</v>
      </c>
      <c r="B11" s="4" t="s">
        <v>2685</v>
      </c>
      <c r="C11" s="4"/>
      <c r="D11" s="4" t="s">
        <v>2804</v>
      </c>
      <c r="E11" s="4">
        <v>7800</v>
      </c>
      <c r="F11" s="4">
        <v>12145</v>
      </c>
      <c r="G11" s="4"/>
      <c r="H11" s="4"/>
      <c r="I11" s="4"/>
      <c r="J11" s="4"/>
      <c r="K11" s="4">
        <v>19500</v>
      </c>
      <c r="L11" s="4"/>
      <c r="M11" s="4"/>
    </row>
    <row r="12" spans="1:13" x14ac:dyDescent="0.25">
      <c r="A12" s="8">
        <v>44695</v>
      </c>
      <c r="B12" s="4" t="s">
        <v>2686</v>
      </c>
      <c r="C12" s="4"/>
      <c r="D12" s="4" t="s">
        <v>1235</v>
      </c>
      <c r="E12" s="4">
        <v>3240</v>
      </c>
      <c r="F12" s="4" t="s">
        <v>2800</v>
      </c>
      <c r="G12" s="4" t="s">
        <v>2943</v>
      </c>
      <c r="H12" s="4" t="s">
        <v>2992</v>
      </c>
      <c r="I12" s="4" t="s">
        <v>2993</v>
      </c>
      <c r="J12" s="4"/>
      <c r="K12" s="4">
        <v>16200</v>
      </c>
      <c r="L12" s="4"/>
      <c r="M12" s="4"/>
    </row>
    <row r="13" spans="1:13" x14ac:dyDescent="0.25">
      <c r="A13" s="8">
        <v>44697</v>
      </c>
      <c r="B13" s="4" t="s">
        <v>2878</v>
      </c>
      <c r="C13" s="8">
        <v>44814</v>
      </c>
      <c r="D13" s="4" t="s">
        <v>2018</v>
      </c>
      <c r="E13" s="4">
        <v>6480</v>
      </c>
      <c r="F13" s="4" t="s">
        <v>2793</v>
      </c>
      <c r="G13" s="4" t="s">
        <v>2871</v>
      </c>
      <c r="H13" s="4" t="s">
        <v>2909</v>
      </c>
      <c r="I13" s="4"/>
      <c r="J13" s="4"/>
      <c r="K13" s="4">
        <v>16200</v>
      </c>
      <c r="L13" s="4"/>
      <c r="M13" s="4"/>
    </row>
    <row r="14" spans="1:13" x14ac:dyDescent="0.25">
      <c r="A14" s="8">
        <v>44698</v>
      </c>
      <c r="B14" s="4" t="s">
        <v>2704</v>
      </c>
      <c r="C14" s="4"/>
      <c r="D14" s="4" t="s">
        <v>2705</v>
      </c>
      <c r="E14" s="4">
        <v>2000</v>
      </c>
      <c r="F14" s="4" t="s">
        <v>2794</v>
      </c>
      <c r="G14" s="4" t="s">
        <v>2885</v>
      </c>
      <c r="H14" s="4" t="s">
        <v>3007</v>
      </c>
      <c r="I14" s="4" t="s">
        <v>3010</v>
      </c>
      <c r="J14" s="4"/>
      <c r="K14" s="4">
        <v>6100</v>
      </c>
      <c r="L14" s="4"/>
      <c r="M14" s="4"/>
    </row>
    <row r="15" spans="1:13" x14ac:dyDescent="0.25">
      <c r="A15" s="8">
        <v>44700</v>
      </c>
      <c r="B15" s="4" t="s">
        <v>2695</v>
      </c>
      <c r="C15" s="4"/>
      <c r="D15" s="4" t="s">
        <v>2696</v>
      </c>
      <c r="E15" s="4">
        <v>2000</v>
      </c>
      <c r="F15" s="4" t="s">
        <v>2806</v>
      </c>
      <c r="G15" s="4" t="s">
        <v>3053</v>
      </c>
      <c r="H15" s="4" t="s">
        <v>3014</v>
      </c>
      <c r="I15" s="4"/>
      <c r="J15" s="4"/>
      <c r="K15" s="4">
        <v>9000</v>
      </c>
      <c r="L15" s="4"/>
      <c r="M15" s="4"/>
    </row>
    <row r="16" spans="1:13" ht="29.25" customHeight="1" x14ac:dyDescent="0.25">
      <c r="A16" s="8">
        <v>44702</v>
      </c>
      <c r="B16" s="4" t="s">
        <v>2717</v>
      </c>
      <c r="C16" s="5">
        <v>44821</v>
      </c>
      <c r="D16" s="40" t="s">
        <v>2882</v>
      </c>
      <c r="E16" s="4">
        <v>3000</v>
      </c>
      <c r="F16" s="4" t="s">
        <v>2731</v>
      </c>
      <c r="G16" s="4">
        <v>5010</v>
      </c>
      <c r="H16" s="4" t="s">
        <v>2833</v>
      </c>
      <c r="I16" s="4" t="s">
        <v>2874</v>
      </c>
      <c r="J16" s="4"/>
      <c r="K16" s="4">
        <v>17950</v>
      </c>
      <c r="L16" s="4"/>
      <c r="M16" s="4"/>
    </row>
    <row r="17" spans="1:13" x14ac:dyDescent="0.25">
      <c r="A17" s="8">
        <v>44702</v>
      </c>
      <c r="B17" s="4" t="s">
        <v>2697</v>
      </c>
      <c r="C17" s="8">
        <v>45080</v>
      </c>
      <c r="D17" s="4" t="s">
        <v>3079</v>
      </c>
      <c r="E17" s="4">
        <v>4300</v>
      </c>
      <c r="F17" s="4" t="s">
        <v>2805</v>
      </c>
      <c r="G17" s="4" t="s">
        <v>2901</v>
      </c>
      <c r="H17" s="4" t="s">
        <v>3004</v>
      </c>
      <c r="I17" s="4" t="s">
        <v>3082</v>
      </c>
      <c r="J17" s="4"/>
      <c r="K17" s="4">
        <v>21500</v>
      </c>
      <c r="L17" s="4"/>
      <c r="M17" s="4"/>
    </row>
    <row r="18" spans="1:13" x14ac:dyDescent="0.25">
      <c r="A18" s="8">
        <v>44702</v>
      </c>
      <c r="B18" s="4" t="s">
        <v>2698</v>
      </c>
      <c r="C18" s="5">
        <v>44907</v>
      </c>
      <c r="D18" s="4" t="s">
        <v>2803</v>
      </c>
      <c r="E18" s="4">
        <v>3900</v>
      </c>
      <c r="F18" s="4" t="s">
        <v>2801</v>
      </c>
      <c r="G18" s="4">
        <v>320</v>
      </c>
      <c r="H18" s="4" t="s">
        <v>2902</v>
      </c>
      <c r="I18" s="4" t="s">
        <v>2997</v>
      </c>
      <c r="J18" s="4" t="s">
        <v>3084</v>
      </c>
      <c r="K18" s="4">
        <v>20300</v>
      </c>
      <c r="L18" s="1"/>
      <c r="M18" s="1"/>
    </row>
    <row r="19" spans="1:13" x14ac:dyDescent="0.25">
      <c r="A19" s="8">
        <v>44702</v>
      </c>
      <c r="B19" s="4" t="s">
        <v>2699</v>
      </c>
      <c r="C19" s="4" t="s">
        <v>2700</v>
      </c>
      <c r="D19" s="4" t="s">
        <v>2663</v>
      </c>
      <c r="E19" s="4">
        <v>3500</v>
      </c>
      <c r="F19" s="4" t="s">
        <v>2795</v>
      </c>
      <c r="G19" s="4" t="s">
        <v>2957</v>
      </c>
      <c r="H19" s="4" t="s">
        <v>3078</v>
      </c>
      <c r="I19" s="4"/>
      <c r="J19" s="4"/>
      <c r="K19" s="4">
        <v>16200</v>
      </c>
      <c r="L19" s="4"/>
      <c r="M19" s="4"/>
    </row>
    <row r="20" spans="1:13" x14ac:dyDescent="0.25">
      <c r="A20" s="8">
        <v>44708</v>
      </c>
      <c r="B20" s="4" t="s">
        <v>2724</v>
      </c>
      <c r="C20" s="4"/>
      <c r="D20" s="4" t="s">
        <v>2725</v>
      </c>
      <c r="E20" s="4">
        <v>2440</v>
      </c>
      <c r="F20" s="4" t="s">
        <v>2764</v>
      </c>
      <c r="G20" s="4"/>
      <c r="H20" s="4"/>
      <c r="I20" s="4"/>
      <c r="J20" s="4"/>
      <c r="K20" s="4">
        <v>6100</v>
      </c>
      <c r="L20" s="4"/>
      <c r="M20" s="4"/>
    </row>
    <row r="21" spans="1:13" x14ac:dyDescent="0.25">
      <c r="A21" s="5">
        <v>44708</v>
      </c>
      <c r="B21" s="4" t="s">
        <v>2726</v>
      </c>
      <c r="C21" s="8">
        <v>44910</v>
      </c>
      <c r="D21" s="4" t="s">
        <v>2995</v>
      </c>
      <c r="E21" s="4">
        <v>2250</v>
      </c>
      <c r="F21" s="4" t="s">
        <v>2832</v>
      </c>
      <c r="G21" s="4" t="s">
        <v>2920</v>
      </c>
      <c r="H21" s="4" t="s">
        <v>2996</v>
      </c>
      <c r="I21" s="4" t="s">
        <v>3096</v>
      </c>
      <c r="J21" s="4"/>
      <c r="K21" s="4">
        <v>12150</v>
      </c>
      <c r="L21" s="1"/>
      <c r="M21" s="1"/>
    </row>
    <row r="22" spans="1:13" x14ac:dyDescent="0.25">
      <c r="A22" s="8">
        <v>44709</v>
      </c>
      <c r="B22" s="4" t="s">
        <v>2728</v>
      </c>
      <c r="C22" s="5">
        <v>44765</v>
      </c>
      <c r="D22" s="4" t="s">
        <v>2729</v>
      </c>
      <c r="E22" s="4">
        <v>3600</v>
      </c>
      <c r="F22" s="4">
        <v>750</v>
      </c>
      <c r="G22" s="4">
        <v>5400</v>
      </c>
      <c r="H22" s="4"/>
      <c r="I22" s="4"/>
      <c r="J22" s="4"/>
      <c r="K22" s="4">
        <v>9000</v>
      </c>
      <c r="L22" s="4"/>
      <c r="M22" s="4"/>
    </row>
    <row r="23" spans="1:13" x14ac:dyDescent="0.25">
      <c r="A23" s="8">
        <v>44709</v>
      </c>
      <c r="B23" s="4" t="s">
        <v>2732</v>
      </c>
      <c r="C23" s="4"/>
      <c r="D23" s="4" t="s">
        <v>723</v>
      </c>
      <c r="E23" s="4">
        <v>5000</v>
      </c>
      <c r="F23" s="4" t="s">
        <v>2791</v>
      </c>
      <c r="G23" s="4" t="s">
        <v>2818</v>
      </c>
      <c r="H23" s="4" t="s">
        <v>2921</v>
      </c>
      <c r="I23" s="4"/>
      <c r="J23" s="4"/>
      <c r="K23" s="4">
        <v>14850</v>
      </c>
      <c r="L23" s="4"/>
      <c r="M23" s="4"/>
    </row>
    <row r="24" spans="1:13" x14ac:dyDescent="0.25">
      <c r="A24" s="8">
        <v>44712</v>
      </c>
      <c r="B24" s="4" t="s">
        <v>2786</v>
      </c>
      <c r="C24" s="4"/>
      <c r="D24" s="4" t="s">
        <v>2971</v>
      </c>
      <c r="E24" s="4">
        <v>2250</v>
      </c>
      <c r="F24" s="4">
        <v>1320</v>
      </c>
      <c r="G24" s="4" t="s">
        <v>2787</v>
      </c>
      <c r="H24" s="4" t="s">
        <v>2896</v>
      </c>
      <c r="I24" s="4" t="s">
        <v>2970</v>
      </c>
      <c r="J24" s="4"/>
      <c r="K24" s="4">
        <v>15350</v>
      </c>
      <c r="L24" s="4"/>
      <c r="M24" s="4"/>
    </row>
    <row r="25" spans="1:13" x14ac:dyDescent="0.25">
      <c r="A25" s="7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G26" s="30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21"/>
  <sheetViews>
    <sheetView workbookViewId="0">
      <selection activeCell="A16" sqref="A16"/>
    </sheetView>
  </sheetViews>
  <sheetFormatPr baseColWidth="10" defaultRowHeight="15" x14ac:dyDescent="0.25"/>
  <cols>
    <col min="2" max="2" width="24.5703125" customWidth="1"/>
    <col min="4" max="4" width="29.5703125" customWidth="1"/>
    <col min="8" max="11" width="19.7109375" customWidth="1"/>
    <col min="12" max="12" width="11.42578125" style="102"/>
  </cols>
  <sheetData>
    <row r="1" spans="1:14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88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98" t="s">
        <v>1216</v>
      </c>
      <c r="M1" s="71" t="s">
        <v>1217</v>
      </c>
      <c r="N1" s="71"/>
    </row>
    <row r="2" spans="1:14" x14ac:dyDescent="0.25">
      <c r="A2" s="8">
        <v>44713</v>
      </c>
      <c r="B2" s="4" t="s">
        <v>2746</v>
      </c>
      <c r="C2" s="4"/>
      <c r="D2" s="4" t="s">
        <v>2747</v>
      </c>
      <c r="E2" s="4">
        <v>2970</v>
      </c>
      <c r="F2" s="4" t="s">
        <v>2818</v>
      </c>
      <c r="G2" s="4" t="s">
        <v>3022</v>
      </c>
      <c r="H2" s="4" t="s">
        <v>3060</v>
      </c>
      <c r="I2" s="4"/>
      <c r="J2" s="4"/>
      <c r="K2" s="4"/>
      <c r="L2" s="99">
        <v>14850</v>
      </c>
      <c r="M2" s="4"/>
      <c r="N2" s="4"/>
    </row>
    <row r="3" spans="1:14" x14ac:dyDescent="0.25">
      <c r="A3" s="8">
        <v>44714</v>
      </c>
      <c r="B3" s="4" t="s">
        <v>2752</v>
      </c>
      <c r="C3" s="8">
        <v>44848</v>
      </c>
      <c r="D3" s="4" t="s">
        <v>2753</v>
      </c>
      <c r="E3" s="4">
        <v>6780</v>
      </c>
      <c r="F3" s="4" t="s">
        <v>2835</v>
      </c>
      <c r="G3" s="4" t="s">
        <v>2927</v>
      </c>
      <c r="H3" s="4"/>
      <c r="I3" s="4"/>
      <c r="J3" s="4"/>
      <c r="K3" s="4"/>
      <c r="L3" s="99">
        <v>16950</v>
      </c>
      <c r="M3" s="4"/>
      <c r="N3" s="4"/>
    </row>
    <row r="4" spans="1:14" ht="33.75" customHeight="1" x14ac:dyDescent="0.25">
      <c r="A4" s="8">
        <v>44715</v>
      </c>
      <c r="B4" s="4" t="s">
        <v>2755</v>
      </c>
      <c r="C4" s="4"/>
      <c r="D4" s="40" t="s">
        <v>2864</v>
      </c>
      <c r="E4" s="4">
        <v>8000</v>
      </c>
      <c r="F4" s="4" t="s">
        <v>2884</v>
      </c>
      <c r="G4" s="4" t="s">
        <v>2980</v>
      </c>
      <c r="H4" s="4"/>
      <c r="I4" s="4"/>
      <c r="J4" s="4"/>
      <c r="K4" s="4"/>
      <c r="L4" s="99">
        <v>21100</v>
      </c>
      <c r="M4" s="4"/>
      <c r="N4" s="4"/>
    </row>
    <row r="5" spans="1:14" x14ac:dyDescent="0.25">
      <c r="A5" s="8">
        <v>44716</v>
      </c>
      <c r="B5" s="4" t="s">
        <v>2759</v>
      </c>
      <c r="C5" s="8">
        <v>45031</v>
      </c>
      <c r="D5" s="4" t="s">
        <v>2760</v>
      </c>
      <c r="E5" s="4">
        <v>3240</v>
      </c>
      <c r="F5" s="4" t="s">
        <v>2905</v>
      </c>
      <c r="G5" s="4" t="s">
        <v>2960</v>
      </c>
      <c r="H5" s="4" t="s">
        <v>3034</v>
      </c>
      <c r="I5" s="4" t="s">
        <v>3109</v>
      </c>
      <c r="J5" s="4"/>
      <c r="K5" s="4"/>
      <c r="L5" s="99">
        <v>16200</v>
      </c>
      <c r="M5" s="4"/>
      <c r="N5" s="1"/>
    </row>
    <row r="6" spans="1:14" x14ac:dyDescent="0.25">
      <c r="A6" s="8">
        <v>44718</v>
      </c>
      <c r="B6" s="4" t="s">
        <v>2761</v>
      </c>
      <c r="C6" s="8">
        <v>44751</v>
      </c>
      <c r="D6" s="4" t="s">
        <v>2762</v>
      </c>
      <c r="E6" s="4">
        <v>2250</v>
      </c>
      <c r="F6" s="4" t="s">
        <v>2782</v>
      </c>
      <c r="G6" s="4"/>
      <c r="H6" s="4"/>
      <c r="I6" s="4"/>
      <c r="J6" s="4"/>
      <c r="K6" s="4"/>
      <c r="L6" s="99">
        <v>11250</v>
      </c>
      <c r="M6" s="4"/>
      <c r="N6" s="4"/>
    </row>
    <row r="7" spans="1:14" x14ac:dyDescent="0.25">
      <c r="A7" s="8">
        <v>44720</v>
      </c>
      <c r="B7" s="4" t="s">
        <v>2855</v>
      </c>
      <c r="C7" s="4"/>
      <c r="D7" s="4" t="s">
        <v>2911</v>
      </c>
      <c r="E7" s="4">
        <v>5000</v>
      </c>
      <c r="F7" s="4" t="s">
        <v>2910</v>
      </c>
      <c r="G7" s="4" t="s">
        <v>2972</v>
      </c>
      <c r="H7" s="4"/>
      <c r="I7" s="4"/>
      <c r="J7" s="4"/>
      <c r="K7" s="4"/>
      <c r="L7" s="99">
        <v>12050</v>
      </c>
      <c r="M7" s="4"/>
      <c r="N7" s="4"/>
    </row>
    <row r="8" spans="1:14" x14ac:dyDescent="0.25">
      <c r="A8" s="8">
        <v>44723</v>
      </c>
      <c r="B8" s="4" t="s">
        <v>2772</v>
      </c>
      <c r="C8" s="8">
        <v>44870</v>
      </c>
      <c r="D8" s="4" t="s">
        <v>2661</v>
      </c>
      <c r="E8" s="4">
        <v>3870</v>
      </c>
      <c r="F8" s="4">
        <v>15480</v>
      </c>
      <c r="G8" s="4"/>
      <c r="H8" s="4"/>
      <c r="I8" s="4"/>
      <c r="J8" s="4"/>
      <c r="K8" s="4"/>
      <c r="L8" s="99">
        <v>19350</v>
      </c>
      <c r="M8" s="4"/>
      <c r="N8" s="4"/>
    </row>
    <row r="9" spans="1:14" x14ac:dyDescent="0.25">
      <c r="A9" s="26">
        <v>44723</v>
      </c>
      <c r="B9" s="10" t="s">
        <v>2773</v>
      </c>
      <c r="C9" s="10"/>
      <c r="D9" s="10" t="s">
        <v>2774</v>
      </c>
      <c r="E9" s="10">
        <v>2430</v>
      </c>
      <c r="F9" s="10"/>
      <c r="G9" s="10"/>
      <c r="H9" s="10"/>
      <c r="I9" s="10"/>
      <c r="J9" s="10"/>
      <c r="K9" s="10"/>
      <c r="L9" s="100">
        <v>12150</v>
      </c>
      <c r="M9" s="10"/>
      <c r="N9" s="10"/>
    </row>
    <row r="10" spans="1:14" x14ac:dyDescent="0.25">
      <c r="A10" s="8">
        <v>44723</v>
      </c>
      <c r="B10" s="4" t="s">
        <v>2856</v>
      </c>
      <c r="C10" s="5">
        <v>44897</v>
      </c>
      <c r="D10" s="4" t="s">
        <v>2777</v>
      </c>
      <c r="E10" s="4">
        <v>4800</v>
      </c>
      <c r="F10" s="4" t="s">
        <v>2879</v>
      </c>
      <c r="G10" s="4" t="s">
        <v>2973</v>
      </c>
      <c r="H10" s="4" t="s">
        <v>3123</v>
      </c>
      <c r="I10" s="4" t="s">
        <v>3124</v>
      </c>
      <c r="J10" s="4"/>
      <c r="K10" s="4"/>
      <c r="L10" s="99">
        <v>24000</v>
      </c>
      <c r="M10" s="1"/>
      <c r="N10" s="1"/>
    </row>
    <row r="11" spans="1:14" x14ac:dyDescent="0.25">
      <c r="A11" s="8">
        <v>44723</v>
      </c>
      <c r="B11" s="4" t="s">
        <v>2778</v>
      </c>
      <c r="C11" s="4"/>
      <c r="D11" s="4" t="s">
        <v>2661</v>
      </c>
      <c r="E11" s="4">
        <v>4170</v>
      </c>
      <c r="F11" s="4" t="s">
        <v>2883</v>
      </c>
      <c r="G11" s="4" t="s">
        <v>2945</v>
      </c>
      <c r="H11" s="4" t="s">
        <v>3041</v>
      </c>
      <c r="I11" s="4" t="s">
        <v>3094</v>
      </c>
      <c r="J11" s="4"/>
      <c r="K11" s="4"/>
      <c r="L11" s="99">
        <v>20850</v>
      </c>
      <c r="M11" s="4"/>
      <c r="N11" s="4"/>
    </row>
    <row r="12" spans="1:14" x14ac:dyDescent="0.25">
      <c r="A12" s="8">
        <v>44723</v>
      </c>
      <c r="B12" s="4" t="s">
        <v>2779</v>
      </c>
      <c r="C12" s="4"/>
      <c r="D12" s="4" t="s">
        <v>3523</v>
      </c>
      <c r="E12" s="4">
        <v>3900</v>
      </c>
      <c r="F12" s="4" t="s">
        <v>2869</v>
      </c>
      <c r="G12" s="4" t="s">
        <v>2946</v>
      </c>
      <c r="H12" s="8" t="s">
        <v>3162</v>
      </c>
      <c r="I12" s="4" t="s">
        <v>3167</v>
      </c>
      <c r="J12" s="4" t="s">
        <v>3367</v>
      </c>
      <c r="K12" s="4" t="s">
        <v>3522</v>
      </c>
      <c r="L12" s="99">
        <v>26480</v>
      </c>
      <c r="M12" s="1"/>
      <c r="N12" s="1"/>
    </row>
    <row r="13" spans="1:14" x14ac:dyDescent="0.25">
      <c r="A13" s="8">
        <v>44725</v>
      </c>
      <c r="B13" s="4" t="s">
        <v>2906</v>
      </c>
      <c r="C13" s="4"/>
      <c r="D13" s="4" t="s">
        <v>2780</v>
      </c>
      <c r="E13" s="4">
        <v>4390</v>
      </c>
      <c r="F13" s="4" t="s">
        <v>2918</v>
      </c>
      <c r="G13" s="4" t="s">
        <v>2990</v>
      </c>
      <c r="H13" s="4" t="s">
        <v>3063</v>
      </c>
      <c r="I13" s="4"/>
      <c r="J13" s="4"/>
      <c r="K13" s="4"/>
      <c r="L13" s="99">
        <v>21950</v>
      </c>
      <c r="M13" s="4"/>
      <c r="N13" s="4"/>
    </row>
    <row r="14" spans="1:14" x14ac:dyDescent="0.25">
      <c r="A14" s="8">
        <v>44730</v>
      </c>
      <c r="B14" s="4" t="s">
        <v>2797</v>
      </c>
      <c r="C14" s="5">
        <v>44924</v>
      </c>
      <c r="D14" s="4" t="s">
        <v>3072</v>
      </c>
      <c r="E14" s="4">
        <v>3240</v>
      </c>
      <c r="F14" s="4" t="s">
        <v>2897</v>
      </c>
      <c r="G14" s="4" t="s">
        <v>3005</v>
      </c>
      <c r="H14" s="4" t="s">
        <v>3073</v>
      </c>
      <c r="I14" s="4" t="s">
        <v>3121</v>
      </c>
      <c r="J14" s="4"/>
      <c r="K14" s="4"/>
      <c r="L14" s="99">
        <v>16700</v>
      </c>
      <c r="M14" s="4"/>
      <c r="N14" s="1"/>
    </row>
    <row r="15" spans="1:14" x14ac:dyDescent="0.25">
      <c r="A15" s="8">
        <v>44730</v>
      </c>
      <c r="B15" s="4" t="s">
        <v>2798</v>
      </c>
      <c r="C15" s="4"/>
      <c r="D15" s="4" t="s">
        <v>3043</v>
      </c>
      <c r="E15" s="4">
        <v>4000</v>
      </c>
      <c r="F15" s="4" t="s">
        <v>2873</v>
      </c>
      <c r="G15" s="4" t="s">
        <v>2991</v>
      </c>
      <c r="H15" s="4">
        <v>6100</v>
      </c>
      <c r="I15" s="4" t="s">
        <v>3066</v>
      </c>
      <c r="J15" s="4"/>
      <c r="K15" s="4"/>
      <c r="L15" s="99">
        <v>18800</v>
      </c>
      <c r="M15" s="4" t="s">
        <v>3067</v>
      </c>
      <c r="N15" s="4"/>
    </row>
    <row r="16" spans="1:14" x14ac:dyDescent="0.25">
      <c r="A16" s="8">
        <v>44734</v>
      </c>
      <c r="B16" s="4" t="s">
        <v>2822</v>
      </c>
      <c r="C16" s="8">
        <v>45094</v>
      </c>
      <c r="D16" s="4" t="s">
        <v>2018</v>
      </c>
      <c r="E16" s="4">
        <v>16200</v>
      </c>
      <c r="F16" s="4"/>
      <c r="G16" s="4"/>
      <c r="H16" s="36"/>
      <c r="I16" s="36"/>
      <c r="J16" s="36"/>
      <c r="K16" s="36"/>
      <c r="L16" s="99">
        <v>16200</v>
      </c>
      <c r="M16" s="4" t="s">
        <v>2823</v>
      </c>
      <c r="N16" s="4"/>
    </row>
    <row r="17" spans="1:14" x14ac:dyDescent="0.25">
      <c r="A17" s="8">
        <v>44737</v>
      </c>
      <c r="B17" s="4" t="s">
        <v>2828</v>
      </c>
      <c r="C17" s="4"/>
      <c r="D17" s="4" t="s">
        <v>2982</v>
      </c>
      <c r="E17" s="4">
        <v>2250</v>
      </c>
      <c r="F17" s="4" t="s">
        <v>2875</v>
      </c>
      <c r="G17" s="4" t="s">
        <v>2983</v>
      </c>
      <c r="H17" s="4" t="s">
        <v>1836</v>
      </c>
      <c r="I17" s="4" t="s">
        <v>3074</v>
      </c>
      <c r="J17" s="4"/>
      <c r="K17" s="4"/>
      <c r="L17" s="99">
        <v>12050</v>
      </c>
      <c r="M17" s="4"/>
      <c r="N17" s="1"/>
    </row>
    <row r="18" spans="1:14" x14ac:dyDescent="0.25">
      <c r="A18" s="26">
        <v>44737</v>
      </c>
      <c r="B18" s="10" t="s">
        <v>2829</v>
      </c>
      <c r="C18" s="10"/>
      <c r="D18" s="10" t="s">
        <v>2774</v>
      </c>
      <c r="E18" s="10">
        <v>2430</v>
      </c>
      <c r="F18" s="10"/>
      <c r="G18" s="10"/>
      <c r="H18" s="10"/>
      <c r="I18" s="10"/>
      <c r="J18" s="10"/>
      <c r="K18" s="10"/>
      <c r="L18" s="100">
        <v>12150</v>
      </c>
      <c r="M18" s="10"/>
      <c r="N18" s="10"/>
    </row>
    <row r="19" spans="1:14" x14ac:dyDescent="0.25">
      <c r="A19" s="8">
        <v>44737</v>
      </c>
      <c r="B19" s="4" t="s">
        <v>2830</v>
      </c>
      <c r="C19" s="4"/>
      <c r="D19" s="4" t="s">
        <v>2831</v>
      </c>
      <c r="E19" s="4">
        <v>2980</v>
      </c>
      <c r="F19" s="4" t="s">
        <v>2919</v>
      </c>
      <c r="G19" s="4" t="s">
        <v>3017</v>
      </c>
      <c r="H19" s="4">
        <v>5900</v>
      </c>
      <c r="I19" s="4"/>
      <c r="J19" s="4"/>
      <c r="K19" s="4"/>
      <c r="L19" s="99">
        <v>14900</v>
      </c>
      <c r="M19" s="4"/>
      <c r="N19" s="4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0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01"/>
      <c r="M21" s="1"/>
      <c r="N21" s="1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9"/>
  <sheetViews>
    <sheetView workbookViewId="0">
      <selection activeCell="D17" sqref="D17"/>
    </sheetView>
  </sheetViews>
  <sheetFormatPr baseColWidth="10" defaultRowHeight="15" x14ac:dyDescent="0.25"/>
  <cols>
    <col min="2" max="2" width="25.28515625" customWidth="1"/>
    <col min="3" max="3" width="13" customWidth="1"/>
    <col min="4" max="4" width="37" customWidth="1"/>
    <col min="7" max="7" width="13.7109375" customWidth="1"/>
    <col min="10" max="12" width="11.42578125" customWidth="1"/>
  </cols>
  <sheetData>
    <row r="1" spans="1:15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/>
      <c r="M1" s="71" t="s">
        <v>1216</v>
      </c>
      <c r="N1" s="71" t="s">
        <v>1217</v>
      </c>
      <c r="O1" s="71"/>
    </row>
    <row r="2" spans="1:15" x14ac:dyDescent="0.25">
      <c r="A2" s="8">
        <v>44744</v>
      </c>
      <c r="B2" s="4" t="s">
        <v>2841</v>
      </c>
      <c r="C2" s="4"/>
      <c r="D2" s="4" t="s">
        <v>2842</v>
      </c>
      <c r="E2" s="4">
        <v>4000</v>
      </c>
      <c r="F2" s="4" t="s">
        <v>2923</v>
      </c>
      <c r="G2" s="4" t="s">
        <v>3028</v>
      </c>
      <c r="H2" s="4"/>
      <c r="I2" s="4"/>
      <c r="J2" s="4"/>
      <c r="K2" s="4"/>
      <c r="L2" s="4"/>
      <c r="M2" s="4">
        <v>7600</v>
      </c>
      <c r="N2" s="1"/>
      <c r="O2" s="1"/>
    </row>
    <row r="3" spans="1:15" x14ac:dyDescent="0.25">
      <c r="A3" s="8">
        <v>44744</v>
      </c>
      <c r="B3" s="4" t="s">
        <v>671</v>
      </c>
      <c r="C3" s="4"/>
      <c r="D3" s="4" t="s">
        <v>2955</v>
      </c>
      <c r="E3" s="4">
        <v>7280</v>
      </c>
      <c r="F3" s="4" t="s">
        <v>2956</v>
      </c>
      <c r="G3" s="4" t="s">
        <v>3045</v>
      </c>
      <c r="H3" s="4"/>
      <c r="I3" s="4"/>
      <c r="J3" s="4"/>
      <c r="K3" s="4"/>
      <c r="L3" s="4"/>
      <c r="M3" s="4">
        <v>18200</v>
      </c>
      <c r="N3" s="4"/>
      <c r="O3" s="4"/>
    </row>
    <row r="4" spans="1:15" x14ac:dyDescent="0.25">
      <c r="A4" s="7">
        <v>44744</v>
      </c>
      <c r="B4" s="4" t="s">
        <v>2848</v>
      </c>
      <c r="C4" s="8">
        <v>44912</v>
      </c>
      <c r="D4" s="4" t="s">
        <v>3057</v>
      </c>
      <c r="E4" s="4">
        <v>3000</v>
      </c>
      <c r="F4" s="4" t="s">
        <v>2961</v>
      </c>
      <c r="G4" s="4" t="s">
        <v>3044</v>
      </c>
      <c r="H4" s="4" t="s">
        <v>3058</v>
      </c>
      <c r="I4" s="4" t="s">
        <v>3216</v>
      </c>
      <c r="J4" s="4" t="s">
        <v>3154</v>
      </c>
      <c r="K4" s="4"/>
      <c r="L4" s="4"/>
      <c r="M4" s="4">
        <v>15050</v>
      </c>
      <c r="N4" s="4"/>
      <c r="O4" s="4"/>
    </row>
    <row r="5" spans="1:15" x14ac:dyDescent="0.25">
      <c r="A5" s="26">
        <v>44744</v>
      </c>
      <c r="B5" s="10" t="s">
        <v>2849</v>
      </c>
      <c r="C5" s="26">
        <v>44923</v>
      </c>
      <c r="D5" s="10" t="s">
        <v>2850</v>
      </c>
      <c r="E5" s="10">
        <v>1000</v>
      </c>
      <c r="F5" s="10"/>
      <c r="G5" s="10"/>
      <c r="H5" s="10"/>
      <c r="I5" s="10"/>
      <c r="J5" s="10"/>
      <c r="K5" s="10"/>
      <c r="L5" s="10"/>
      <c r="M5" s="10">
        <v>20000</v>
      </c>
      <c r="N5" s="10"/>
      <c r="O5" s="10"/>
    </row>
    <row r="6" spans="1:15" x14ac:dyDescent="0.25">
      <c r="A6" s="8">
        <v>44747</v>
      </c>
      <c r="B6" s="4" t="s">
        <v>2860</v>
      </c>
      <c r="C6" s="5">
        <v>44793</v>
      </c>
      <c r="D6" s="4" t="s">
        <v>2861</v>
      </c>
      <c r="E6" s="4">
        <v>9280</v>
      </c>
      <c r="F6" s="4" t="s">
        <v>2966</v>
      </c>
      <c r="G6" s="4"/>
      <c r="H6" s="4"/>
      <c r="I6" s="4"/>
      <c r="J6" s="4"/>
      <c r="K6" s="4"/>
      <c r="L6" s="4"/>
      <c r="M6" s="27">
        <v>21200</v>
      </c>
      <c r="N6" s="4"/>
      <c r="O6" s="4"/>
    </row>
    <row r="7" spans="1:15" ht="25.5" customHeight="1" x14ac:dyDescent="0.25">
      <c r="A7" s="8">
        <v>44751</v>
      </c>
      <c r="B7" s="4" t="s">
        <v>2865</v>
      </c>
      <c r="C7" s="4"/>
      <c r="D7" s="40" t="s">
        <v>2866</v>
      </c>
      <c r="E7" s="4">
        <v>2531</v>
      </c>
      <c r="F7" s="4" t="s">
        <v>2985</v>
      </c>
      <c r="G7" s="4" t="s">
        <v>3046</v>
      </c>
      <c r="H7" s="4" t="s">
        <v>3104</v>
      </c>
      <c r="I7" s="4" t="s">
        <v>3201</v>
      </c>
      <c r="J7" s="34" t="s">
        <v>3255</v>
      </c>
      <c r="K7" s="34" t="s">
        <v>3282</v>
      </c>
      <c r="L7" s="34" t="s">
        <v>3365</v>
      </c>
      <c r="M7" s="4">
        <v>20250</v>
      </c>
      <c r="N7" s="1"/>
      <c r="O7" s="1"/>
    </row>
    <row r="8" spans="1:15" x14ac:dyDescent="0.25">
      <c r="A8" s="8">
        <v>44758</v>
      </c>
      <c r="B8" s="4" t="s">
        <v>2892</v>
      </c>
      <c r="C8" s="4"/>
      <c r="D8" s="4" t="s">
        <v>2521</v>
      </c>
      <c r="E8" s="4">
        <v>2500</v>
      </c>
      <c r="F8" s="4" t="s">
        <v>2986</v>
      </c>
      <c r="G8" s="4" t="s">
        <v>3160</v>
      </c>
      <c r="H8" s="4" t="s">
        <v>3245</v>
      </c>
      <c r="I8" s="4"/>
      <c r="J8" s="4"/>
      <c r="K8" s="4"/>
      <c r="L8" s="4"/>
      <c r="M8" s="4">
        <v>12150</v>
      </c>
      <c r="N8" s="1"/>
      <c r="O8" s="1"/>
    </row>
    <row r="9" spans="1:15" x14ac:dyDescent="0.25">
      <c r="A9" s="8">
        <v>44758</v>
      </c>
      <c r="B9" s="4" t="s">
        <v>2894</v>
      </c>
      <c r="C9" s="5">
        <v>44821</v>
      </c>
      <c r="D9" s="4" t="s">
        <v>2895</v>
      </c>
      <c r="E9" s="4">
        <v>4320</v>
      </c>
      <c r="F9" s="4" t="s">
        <v>2931</v>
      </c>
      <c r="G9" s="4" t="s">
        <v>2944</v>
      </c>
      <c r="H9" s="4"/>
      <c r="I9" s="4"/>
      <c r="J9" s="4"/>
      <c r="K9" s="4"/>
      <c r="L9" s="4"/>
      <c r="M9" s="4">
        <v>10800</v>
      </c>
      <c r="N9" s="4"/>
      <c r="O9" s="4"/>
    </row>
    <row r="10" spans="1:15" x14ac:dyDescent="0.25">
      <c r="A10" s="7">
        <v>44762</v>
      </c>
      <c r="B10" s="4" t="s">
        <v>2899</v>
      </c>
      <c r="C10" s="4"/>
      <c r="D10" s="4" t="s">
        <v>2900</v>
      </c>
      <c r="E10" s="4">
        <v>4680</v>
      </c>
      <c r="F10" s="4" t="s">
        <v>2989</v>
      </c>
      <c r="G10" s="4" t="s">
        <v>3077</v>
      </c>
      <c r="H10" s="4"/>
      <c r="I10" s="4"/>
      <c r="J10" s="4"/>
      <c r="K10" s="4"/>
      <c r="L10" s="4"/>
      <c r="M10" s="4">
        <v>11700</v>
      </c>
      <c r="N10" s="1"/>
      <c r="O10" s="1"/>
    </row>
    <row r="11" spans="1:15" x14ac:dyDescent="0.25">
      <c r="A11" s="8">
        <v>44772</v>
      </c>
      <c r="B11" s="4" t="s">
        <v>2929</v>
      </c>
      <c r="C11" s="4"/>
      <c r="D11" s="4" t="s">
        <v>2930</v>
      </c>
      <c r="E11" s="4">
        <v>5000</v>
      </c>
      <c r="F11" s="4" t="s">
        <v>2984</v>
      </c>
      <c r="G11" s="4" t="s">
        <v>3087</v>
      </c>
      <c r="H11" s="4" t="s">
        <v>3166</v>
      </c>
      <c r="I11" s="4" t="s">
        <v>3218</v>
      </c>
      <c r="J11" s="4"/>
      <c r="K11" s="4"/>
      <c r="L11" s="4"/>
      <c r="M11" s="4">
        <v>23400</v>
      </c>
      <c r="N11" s="1"/>
      <c r="O11" s="1"/>
    </row>
    <row r="12" spans="1:15" x14ac:dyDescent="0.25">
      <c r="A12" s="8">
        <v>44772</v>
      </c>
      <c r="B12" s="4" t="s">
        <v>2932</v>
      </c>
      <c r="C12" s="4"/>
      <c r="D12" s="4" t="s">
        <v>2933</v>
      </c>
      <c r="E12" s="4">
        <v>10000</v>
      </c>
      <c r="F12" s="4" t="s">
        <v>3021</v>
      </c>
      <c r="G12" s="4" t="s">
        <v>3103</v>
      </c>
      <c r="H12" s="4" t="s">
        <v>3152</v>
      </c>
      <c r="I12" s="4"/>
      <c r="J12" s="4"/>
      <c r="K12" s="4"/>
      <c r="L12" s="4"/>
      <c r="M12" s="4">
        <v>21300</v>
      </c>
      <c r="N12" s="1"/>
      <c r="O12" s="1"/>
    </row>
    <row r="13" spans="1:15" x14ac:dyDescent="0.25">
      <c r="A13" s="4" t="s">
        <v>2934</v>
      </c>
      <c r="B13" s="4" t="s">
        <v>2935</v>
      </c>
      <c r="C13" s="8">
        <v>45043</v>
      </c>
      <c r="D13" s="4" t="s">
        <v>2936</v>
      </c>
      <c r="E13" s="4">
        <v>2700</v>
      </c>
      <c r="F13" s="4" t="s">
        <v>3032</v>
      </c>
      <c r="G13" s="4" t="s">
        <v>3112</v>
      </c>
      <c r="H13" s="4" t="s">
        <v>3184</v>
      </c>
      <c r="I13" s="8" t="s">
        <v>3254</v>
      </c>
      <c r="J13" s="4"/>
      <c r="K13" s="4"/>
      <c r="L13" s="4"/>
      <c r="M13" s="4">
        <v>16200</v>
      </c>
      <c r="N13" s="1"/>
      <c r="O13" s="1"/>
    </row>
    <row r="14" spans="1:15" ht="29.25" customHeight="1" x14ac:dyDescent="0.25">
      <c r="A14" s="4" t="s">
        <v>2934</v>
      </c>
      <c r="B14" s="4" t="s">
        <v>2937</v>
      </c>
      <c r="C14" s="4"/>
      <c r="D14" s="40" t="s">
        <v>2938</v>
      </c>
      <c r="E14" s="4">
        <v>3000</v>
      </c>
      <c r="F14" s="4" t="s">
        <v>3012</v>
      </c>
      <c r="G14" s="4" t="s">
        <v>3105</v>
      </c>
      <c r="H14" s="4"/>
      <c r="I14" s="4"/>
      <c r="J14" s="4"/>
      <c r="K14" s="4"/>
      <c r="L14" s="4"/>
      <c r="M14" s="4">
        <v>18550</v>
      </c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19"/>
  <sheetViews>
    <sheetView zoomScaleNormal="100" workbookViewId="0">
      <selection activeCell="B20" sqref="B20"/>
    </sheetView>
  </sheetViews>
  <sheetFormatPr baseColWidth="10" defaultRowHeight="15" x14ac:dyDescent="0.25"/>
  <cols>
    <col min="2" max="2" width="21.42578125" customWidth="1"/>
    <col min="4" max="4" width="31.140625" customWidth="1"/>
    <col min="8" max="8" width="13.28515625" customWidth="1"/>
  </cols>
  <sheetData>
    <row r="1" spans="1:12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 t="s">
        <v>1216</v>
      </c>
      <c r="K1" s="71" t="s">
        <v>1217</v>
      </c>
      <c r="L1" s="71"/>
    </row>
    <row r="2" spans="1:12" x14ac:dyDescent="0.25">
      <c r="A2" s="26">
        <v>44774</v>
      </c>
      <c r="B2" s="10" t="s">
        <v>2925</v>
      </c>
      <c r="C2" s="10" t="s">
        <v>2926</v>
      </c>
      <c r="D2" s="10" t="s">
        <v>3252</v>
      </c>
      <c r="E2" s="10">
        <v>4680</v>
      </c>
      <c r="F2" s="10"/>
      <c r="G2" s="10"/>
      <c r="H2" s="10"/>
      <c r="I2" s="10"/>
      <c r="J2" s="10">
        <v>23400</v>
      </c>
      <c r="K2" s="1"/>
      <c r="L2" s="1" t="s">
        <v>1891</v>
      </c>
    </row>
    <row r="3" spans="1:12" x14ac:dyDescent="0.25">
      <c r="A3" s="8">
        <v>44777</v>
      </c>
      <c r="B3" s="4" t="s">
        <v>2958</v>
      </c>
      <c r="C3" s="4"/>
      <c r="D3" s="4" t="s">
        <v>2959</v>
      </c>
      <c r="E3" s="4">
        <v>5000</v>
      </c>
      <c r="F3" s="4" t="s">
        <v>3031</v>
      </c>
      <c r="G3" s="4" t="s">
        <v>3108</v>
      </c>
      <c r="H3" s="4" t="s">
        <v>3146</v>
      </c>
      <c r="I3" s="4"/>
      <c r="J3" s="4">
        <v>23450</v>
      </c>
      <c r="K3" s="1"/>
      <c r="L3" s="1"/>
    </row>
    <row r="4" spans="1:12" ht="27.75" customHeight="1" x14ac:dyDescent="0.25">
      <c r="A4" s="8">
        <v>44779</v>
      </c>
      <c r="B4" s="4" t="s">
        <v>2963</v>
      </c>
      <c r="C4" s="8">
        <v>44898</v>
      </c>
      <c r="D4" s="40" t="s">
        <v>2964</v>
      </c>
      <c r="E4" s="4">
        <v>3000</v>
      </c>
      <c r="F4" s="4" t="s">
        <v>2965</v>
      </c>
      <c r="G4" s="4" t="s">
        <v>3131</v>
      </c>
      <c r="H4" s="4" t="s">
        <v>3164</v>
      </c>
      <c r="I4" s="4" t="s">
        <v>3224</v>
      </c>
      <c r="J4" s="4">
        <v>21800</v>
      </c>
      <c r="K4" s="1"/>
      <c r="L4" s="1"/>
    </row>
    <row r="5" spans="1:12" x14ac:dyDescent="0.25">
      <c r="A5" s="8">
        <v>44785</v>
      </c>
      <c r="B5" s="4" t="s">
        <v>2975</v>
      </c>
      <c r="C5" s="8"/>
      <c r="D5" s="4" t="s">
        <v>2976</v>
      </c>
      <c r="E5" s="4">
        <v>5000</v>
      </c>
      <c r="F5" s="4" t="s">
        <v>2994</v>
      </c>
      <c r="G5" s="4" t="s">
        <v>3062</v>
      </c>
      <c r="H5" s="4" t="s">
        <v>3133</v>
      </c>
      <c r="I5" s="4" t="s">
        <v>3148</v>
      </c>
      <c r="J5" s="4">
        <v>16200</v>
      </c>
      <c r="K5" s="1"/>
      <c r="L5" s="1"/>
    </row>
    <row r="6" spans="1:12" x14ac:dyDescent="0.25">
      <c r="A6" s="8">
        <v>44785</v>
      </c>
      <c r="B6" s="4" t="s">
        <v>2977</v>
      </c>
      <c r="C6" s="5"/>
      <c r="D6" s="4" t="s">
        <v>3065</v>
      </c>
      <c r="E6" s="4">
        <v>8500</v>
      </c>
      <c r="F6" s="4" t="s">
        <v>3110</v>
      </c>
      <c r="G6" s="4" t="s">
        <v>3095</v>
      </c>
      <c r="H6" s="4" t="s">
        <v>3111</v>
      </c>
      <c r="I6" s="4"/>
      <c r="J6" s="4">
        <v>22000</v>
      </c>
      <c r="K6" s="1"/>
      <c r="L6" s="1"/>
    </row>
    <row r="7" spans="1:12" ht="24" customHeight="1" x14ac:dyDescent="0.25">
      <c r="A7" s="8">
        <v>44793</v>
      </c>
      <c r="B7" s="4" t="s">
        <v>3000</v>
      </c>
      <c r="C7" s="4"/>
      <c r="D7" s="40" t="s">
        <v>3001</v>
      </c>
      <c r="E7" s="4">
        <v>9000</v>
      </c>
      <c r="F7" s="4" t="s">
        <v>3069</v>
      </c>
      <c r="G7" s="4" t="s">
        <v>3147</v>
      </c>
      <c r="H7" s="4" t="s">
        <v>3207</v>
      </c>
      <c r="I7" s="4" t="s">
        <v>3212</v>
      </c>
      <c r="J7" s="4">
        <v>21200</v>
      </c>
      <c r="K7" s="1"/>
      <c r="L7" s="1"/>
    </row>
    <row r="8" spans="1:12" x14ac:dyDescent="0.25">
      <c r="A8" s="8">
        <v>44800</v>
      </c>
      <c r="B8" s="4" t="s">
        <v>3018</v>
      </c>
      <c r="C8" s="4"/>
      <c r="D8" s="4" t="s">
        <v>3019</v>
      </c>
      <c r="E8" s="4">
        <v>5000</v>
      </c>
      <c r="F8" s="4" t="s">
        <v>3075</v>
      </c>
      <c r="G8" s="4" t="s">
        <v>3161</v>
      </c>
      <c r="H8" s="4" t="s">
        <v>3210</v>
      </c>
      <c r="I8" s="4" t="s">
        <v>3301</v>
      </c>
      <c r="J8" s="4">
        <v>23530</v>
      </c>
      <c r="K8" s="1"/>
      <c r="L8" s="1"/>
    </row>
    <row r="9" spans="1:12" x14ac:dyDescent="0.25">
      <c r="A9" s="26">
        <v>44804</v>
      </c>
      <c r="B9" s="10" t="s">
        <v>3027</v>
      </c>
      <c r="C9" s="33"/>
      <c r="D9" s="10" t="s">
        <v>2018</v>
      </c>
      <c r="E9" s="10">
        <v>2000</v>
      </c>
      <c r="F9" s="10" t="s">
        <v>3036</v>
      </c>
      <c r="G9" s="10" t="s">
        <v>3102</v>
      </c>
      <c r="H9" s="10" t="s">
        <v>3190</v>
      </c>
      <c r="I9" s="10"/>
      <c r="J9" s="10">
        <v>16200</v>
      </c>
      <c r="K9" s="1"/>
      <c r="L9" s="1"/>
    </row>
    <row r="10" spans="1:12" x14ac:dyDescent="0.25">
      <c r="A10" s="7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3"/>
  <sheetViews>
    <sheetView zoomScaleNormal="100" workbookViewId="0">
      <selection activeCell="D20" sqref="D20"/>
    </sheetView>
  </sheetViews>
  <sheetFormatPr baseColWidth="10" defaultRowHeight="15" x14ac:dyDescent="0.25"/>
  <cols>
    <col min="2" max="2" width="23.140625" customWidth="1"/>
    <col min="4" max="4" width="36.7109375" customWidth="1"/>
    <col min="9" max="9" width="25.42578125" customWidth="1"/>
    <col min="10" max="12" width="14.28515625" customWidth="1"/>
  </cols>
  <sheetData>
    <row r="1" spans="1:15" x14ac:dyDescent="0.25">
      <c r="A1" s="71" t="s">
        <v>1209</v>
      </c>
      <c r="B1" s="71" t="s">
        <v>1210</v>
      </c>
      <c r="C1" s="71" t="s">
        <v>1211</v>
      </c>
      <c r="D1" s="71" t="s">
        <v>1212</v>
      </c>
      <c r="E1" s="71" t="s">
        <v>1213</v>
      </c>
      <c r="F1" s="71" t="s">
        <v>1214</v>
      </c>
      <c r="G1" s="71" t="s">
        <v>1215</v>
      </c>
      <c r="H1" s="71"/>
      <c r="I1" s="71"/>
      <c r="J1" s="71"/>
      <c r="K1" s="71"/>
      <c r="L1" s="71"/>
      <c r="M1" s="71" t="s">
        <v>1216</v>
      </c>
      <c r="N1" s="71" t="s">
        <v>1217</v>
      </c>
      <c r="O1" s="71"/>
    </row>
    <row r="2" spans="1:15" x14ac:dyDescent="0.25">
      <c r="A2" s="8">
        <v>44806</v>
      </c>
      <c r="B2" s="4" t="s">
        <v>3029</v>
      </c>
      <c r="C2" s="4"/>
      <c r="D2" s="4" t="s">
        <v>3030</v>
      </c>
      <c r="E2" s="4">
        <v>2300</v>
      </c>
      <c r="F2" s="4" t="s">
        <v>3100</v>
      </c>
      <c r="G2" s="4"/>
      <c r="H2" s="4"/>
      <c r="I2" s="4"/>
      <c r="J2" s="4"/>
      <c r="K2" s="4"/>
      <c r="L2" s="4"/>
      <c r="M2" s="4">
        <v>11500</v>
      </c>
      <c r="N2" s="4"/>
      <c r="O2" s="4"/>
    </row>
    <row r="3" spans="1:15" x14ac:dyDescent="0.25">
      <c r="A3" s="26">
        <v>44807</v>
      </c>
      <c r="B3" s="10" t="s">
        <v>3035</v>
      </c>
      <c r="C3" s="10"/>
      <c r="D3" s="10" t="s">
        <v>1150</v>
      </c>
      <c r="E3" s="10">
        <v>3240</v>
      </c>
      <c r="F3" s="10"/>
      <c r="G3" s="10"/>
      <c r="H3" s="10"/>
      <c r="I3" s="10"/>
      <c r="J3" s="10"/>
      <c r="K3" s="10"/>
      <c r="L3" s="10"/>
      <c r="M3" s="10">
        <v>16200</v>
      </c>
      <c r="N3" s="1"/>
      <c r="O3" s="1"/>
    </row>
    <row r="4" spans="1:15" x14ac:dyDescent="0.25">
      <c r="A4" s="8">
        <v>44814</v>
      </c>
      <c r="B4" s="4" t="s">
        <v>3048</v>
      </c>
      <c r="C4" s="4"/>
      <c r="D4" s="4" t="s">
        <v>3049</v>
      </c>
      <c r="E4" s="4">
        <v>10625</v>
      </c>
      <c r="F4" s="4" t="s">
        <v>3122</v>
      </c>
      <c r="G4" s="4" t="s">
        <v>3170</v>
      </c>
      <c r="H4" s="4"/>
      <c r="I4" s="4"/>
      <c r="J4" s="4"/>
      <c r="K4" s="4"/>
      <c r="L4" s="4"/>
      <c r="M4" s="4">
        <v>21250</v>
      </c>
      <c r="N4" s="4">
        <v>8126130752</v>
      </c>
      <c r="O4" s="4"/>
    </row>
    <row r="5" spans="1:15" x14ac:dyDescent="0.25">
      <c r="A5" s="8">
        <v>44821</v>
      </c>
      <c r="B5" s="4" t="s">
        <v>3068</v>
      </c>
      <c r="C5" s="4"/>
      <c r="D5" s="4" t="s">
        <v>3269</v>
      </c>
      <c r="E5" s="4">
        <v>4500</v>
      </c>
      <c r="F5" s="4" t="s">
        <v>3159</v>
      </c>
      <c r="G5" s="4" t="s">
        <v>3246</v>
      </c>
      <c r="H5" s="4" t="s">
        <v>2255</v>
      </c>
      <c r="I5" s="4" t="s">
        <v>3315</v>
      </c>
      <c r="J5" s="4" t="s">
        <v>3363</v>
      </c>
      <c r="K5" s="4" t="s">
        <v>3470</v>
      </c>
      <c r="L5" s="4"/>
      <c r="M5" s="4">
        <v>28200</v>
      </c>
      <c r="N5" s="4">
        <v>8181890488</v>
      </c>
      <c r="O5" s="1" t="s">
        <v>3471</v>
      </c>
    </row>
    <row r="6" spans="1:15" x14ac:dyDescent="0.25">
      <c r="A6" s="8">
        <v>44821</v>
      </c>
      <c r="B6" s="4" t="s">
        <v>3071</v>
      </c>
      <c r="C6" s="4"/>
      <c r="D6" s="4" t="s">
        <v>3145</v>
      </c>
      <c r="E6" s="4">
        <v>4000</v>
      </c>
      <c r="F6" s="4" t="s">
        <v>3149</v>
      </c>
      <c r="G6" s="4"/>
      <c r="H6" s="4"/>
      <c r="I6" s="4"/>
      <c r="J6" s="4"/>
      <c r="K6" s="4"/>
      <c r="L6" s="4"/>
      <c r="M6" s="4">
        <v>10000</v>
      </c>
      <c r="N6" s="4">
        <v>7681127590</v>
      </c>
      <c r="O6" s="4" t="s">
        <v>3098</v>
      </c>
    </row>
    <row r="7" spans="1:15" x14ac:dyDescent="0.25">
      <c r="A7" s="8">
        <v>44824</v>
      </c>
      <c r="B7" s="4" t="s">
        <v>3080</v>
      </c>
      <c r="C7" s="4"/>
      <c r="D7" s="4" t="s">
        <v>3081</v>
      </c>
      <c r="E7" s="4">
        <v>6000</v>
      </c>
      <c r="F7" s="4" t="s">
        <v>3141</v>
      </c>
      <c r="G7" s="4" t="s">
        <v>3213</v>
      </c>
      <c r="H7" s="4" t="s">
        <v>3256</v>
      </c>
      <c r="I7" s="4" t="s">
        <v>3274</v>
      </c>
      <c r="J7" s="4"/>
      <c r="K7" s="4"/>
      <c r="L7" s="4"/>
      <c r="M7" s="4">
        <v>20200</v>
      </c>
      <c r="N7" s="1">
        <v>971115037</v>
      </c>
      <c r="O7" s="1" t="s">
        <v>3098</v>
      </c>
    </row>
    <row r="8" spans="1:15" x14ac:dyDescent="0.25">
      <c r="A8" s="8">
        <v>44828</v>
      </c>
      <c r="B8" s="4" t="s">
        <v>3088</v>
      </c>
      <c r="C8" s="4"/>
      <c r="D8" s="4" t="s">
        <v>3232</v>
      </c>
      <c r="E8" s="4">
        <v>9000</v>
      </c>
      <c r="F8" s="4" t="s">
        <v>3233</v>
      </c>
      <c r="G8" s="4"/>
      <c r="H8" s="4"/>
      <c r="I8" s="4"/>
      <c r="J8" s="4"/>
      <c r="K8" s="4"/>
      <c r="L8" s="4"/>
      <c r="M8" s="4">
        <v>15850</v>
      </c>
      <c r="N8" s="4">
        <v>8114867737</v>
      </c>
      <c r="O8" s="4"/>
    </row>
    <row r="9" spans="1:15" x14ac:dyDescent="0.25">
      <c r="A9" s="8">
        <v>44828</v>
      </c>
      <c r="B9" s="4" t="s">
        <v>3089</v>
      </c>
      <c r="C9" s="4"/>
      <c r="D9" s="4" t="s">
        <v>3313</v>
      </c>
      <c r="E9" s="4">
        <v>3500</v>
      </c>
      <c r="F9" s="4" t="s">
        <v>3155</v>
      </c>
      <c r="G9" s="4" t="s">
        <v>3204</v>
      </c>
      <c r="H9" s="4" t="s">
        <v>3268</v>
      </c>
      <c r="I9" s="4" t="s">
        <v>3312</v>
      </c>
      <c r="J9" s="4" t="s">
        <v>3377</v>
      </c>
      <c r="K9" s="4" t="s">
        <v>3468</v>
      </c>
      <c r="L9" s="4" t="s">
        <v>3512</v>
      </c>
      <c r="M9" s="4">
        <v>24500</v>
      </c>
      <c r="N9" s="1"/>
      <c r="O9" s="1" t="s">
        <v>3098</v>
      </c>
    </row>
    <row r="10" spans="1:15" x14ac:dyDescent="0.25">
      <c r="A10" s="48">
        <v>44828</v>
      </c>
      <c r="B10" s="4" t="s">
        <v>3090</v>
      </c>
      <c r="C10" s="4"/>
      <c r="D10" s="4" t="s">
        <v>3091</v>
      </c>
      <c r="E10" s="4">
        <v>8640</v>
      </c>
      <c r="F10" s="4" t="s">
        <v>3092</v>
      </c>
      <c r="G10" s="4"/>
      <c r="H10" s="4"/>
      <c r="I10" s="4"/>
      <c r="J10" s="4"/>
      <c r="K10" s="4"/>
      <c r="L10" s="4"/>
      <c r="M10" s="4">
        <v>19800</v>
      </c>
      <c r="N10" s="4">
        <v>5545337085</v>
      </c>
      <c r="O10" s="4"/>
    </row>
    <row r="11" spans="1:15" x14ac:dyDescent="0.25">
      <c r="A11" s="8">
        <v>44832</v>
      </c>
      <c r="B11" s="4" t="s">
        <v>3097</v>
      </c>
      <c r="C11" s="4"/>
      <c r="D11" s="4" t="s">
        <v>1525</v>
      </c>
      <c r="E11" s="4">
        <v>3060</v>
      </c>
      <c r="F11" s="4" t="s">
        <v>3172</v>
      </c>
      <c r="G11" s="4" t="s">
        <v>3219</v>
      </c>
      <c r="H11" s="4" t="s">
        <v>3275</v>
      </c>
      <c r="I11" s="4" t="s">
        <v>3482</v>
      </c>
      <c r="J11" s="4"/>
      <c r="K11" s="4"/>
      <c r="L11" s="4"/>
      <c r="M11" s="4">
        <v>15300</v>
      </c>
      <c r="N11" s="4">
        <v>8188689898</v>
      </c>
      <c r="O11" s="1" t="s">
        <v>3099</v>
      </c>
    </row>
    <row r="12" spans="1:15" x14ac:dyDescent="0.25">
      <c r="A12" s="8">
        <v>44834</v>
      </c>
      <c r="B12" s="4" t="s">
        <v>3101</v>
      </c>
      <c r="C12" s="4"/>
      <c r="D12" s="4" t="s">
        <v>3116</v>
      </c>
      <c r="E12" s="4">
        <v>4500</v>
      </c>
      <c r="F12" s="4" t="s">
        <v>3163</v>
      </c>
      <c r="G12" s="4" t="s">
        <v>3165</v>
      </c>
      <c r="H12" s="4" t="s">
        <v>3297</v>
      </c>
      <c r="I12" s="4" t="s">
        <v>3298</v>
      </c>
      <c r="J12" s="4" t="s">
        <v>3340</v>
      </c>
      <c r="K12" s="4"/>
      <c r="L12" s="4"/>
      <c r="M12" s="4">
        <v>23600</v>
      </c>
      <c r="N12" s="4">
        <v>8129048220</v>
      </c>
      <c r="O12" s="1" t="s">
        <v>3099</v>
      </c>
    </row>
    <row r="13" spans="1:15" x14ac:dyDescent="0.25">
      <c r="A13" s="5">
        <v>44835</v>
      </c>
      <c r="B13" s="4" t="s">
        <v>3186</v>
      </c>
      <c r="C13" s="4"/>
      <c r="D13" s="4" t="s">
        <v>2692</v>
      </c>
      <c r="E13" s="4">
        <v>3240</v>
      </c>
      <c r="F13" s="4" t="s">
        <v>3187</v>
      </c>
      <c r="G13" s="4" t="s">
        <v>3248</v>
      </c>
      <c r="H13" s="4" t="s">
        <v>3276</v>
      </c>
      <c r="I13" s="4">
        <v>2980</v>
      </c>
      <c r="J13" s="4"/>
      <c r="K13" s="4"/>
      <c r="L13" s="4"/>
      <c r="M13" s="4">
        <v>16200</v>
      </c>
      <c r="N13" s="4"/>
      <c r="O13" s="4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18"/>
  <sheetViews>
    <sheetView zoomScale="110" zoomScaleNormal="110" workbookViewId="0">
      <selection activeCell="C13" sqref="C13"/>
    </sheetView>
  </sheetViews>
  <sheetFormatPr baseColWidth="10" defaultRowHeight="15" x14ac:dyDescent="0.25"/>
  <cols>
    <col min="2" max="2" width="22.42578125" customWidth="1"/>
    <col min="3" max="3" width="13.140625" customWidth="1"/>
    <col min="4" max="4" width="33.140625" customWidth="1"/>
    <col min="8" max="8" width="15.140625" customWidth="1"/>
  </cols>
  <sheetData>
    <row r="1" spans="1:13" x14ac:dyDescent="0.25">
      <c r="A1" s="90" t="s">
        <v>1209</v>
      </c>
      <c r="B1" s="89" t="s">
        <v>1210</v>
      </c>
      <c r="C1" s="71" t="s">
        <v>3119</v>
      </c>
      <c r="D1" s="89" t="s">
        <v>1212</v>
      </c>
      <c r="E1" s="95" t="s">
        <v>3206</v>
      </c>
      <c r="F1" s="95" t="s">
        <v>1213</v>
      </c>
      <c r="G1" s="95" t="s">
        <v>1214</v>
      </c>
      <c r="H1" s="95" t="s">
        <v>1215</v>
      </c>
      <c r="I1" s="95" t="s">
        <v>3281</v>
      </c>
      <c r="J1" s="95" t="s">
        <v>1216</v>
      </c>
      <c r="K1" s="71" t="s">
        <v>1217</v>
      </c>
      <c r="L1" s="71"/>
    </row>
    <row r="2" spans="1:13" x14ac:dyDescent="0.25">
      <c r="A2" s="26">
        <v>44835</v>
      </c>
      <c r="B2" s="10" t="s">
        <v>3106</v>
      </c>
      <c r="C2" s="10"/>
      <c r="D2" s="10" t="s">
        <v>3107</v>
      </c>
      <c r="E2" s="10">
        <v>9520</v>
      </c>
      <c r="F2" s="10"/>
      <c r="G2" s="10"/>
      <c r="H2" s="10"/>
      <c r="I2" s="10"/>
      <c r="J2" s="10">
        <v>23800</v>
      </c>
      <c r="K2" s="10">
        <v>8999847415</v>
      </c>
      <c r="L2" s="10" t="s">
        <v>3115</v>
      </c>
    </row>
    <row r="3" spans="1:13" x14ac:dyDescent="0.25">
      <c r="A3" s="8">
        <v>44841</v>
      </c>
      <c r="B3" s="4" t="s">
        <v>3113</v>
      </c>
      <c r="C3" s="5">
        <v>44688</v>
      </c>
      <c r="D3" s="4" t="s">
        <v>3114</v>
      </c>
      <c r="E3" s="4">
        <v>1620</v>
      </c>
      <c r="F3" s="4" t="s">
        <v>3214</v>
      </c>
      <c r="G3" s="5" t="s">
        <v>3238</v>
      </c>
      <c r="H3" s="4" t="s">
        <v>3286</v>
      </c>
      <c r="I3" s="4" t="s">
        <v>3357</v>
      </c>
      <c r="J3" s="4">
        <v>8100</v>
      </c>
      <c r="K3" s="1">
        <v>8120191903</v>
      </c>
      <c r="L3" s="1" t="s">
        <v>3115</v>
      </c>
    </row>
    <row r="4" spans="1:13" x14ac:dyDescent="0.25">
      <c r="A4" s="8">
        <v>44842</v>
      </c>
      <c r="B4" s="4" t="s">
        <v>3117</v>
      </c>
      <c r="C4" s="8">
        <v>45075</v>
      </c>
      <c r="D4" s="4" t="s">
        <v>3118</v>
      </c>
      <c r="E4" s="4">
        <v>3000</v>
      </c>
      <c r="F4" s="4" t="s">
        <v>3215</v>
      </c>
      <c r="G4" s="4" t="s">
        <v>3242</v>
      </c>
      <c r="H4" s="4" t="s">
        <v>3283</v>
      </c>
      <c r="I4" s="4" t="s">
        <v>3290</v>
      </c>
      <c r="J4" s="4" t="s">
        <v>3368</v>
      </c>
      <c r="K4" s="4">
        <v>8121523264</v>
      </c>
      <c r="L4" s="4" t="s">
        <v>3115</v>
      </c>
    </row>
    <row r="5" spans="1:13" x14ac:dyDescent="0.25">
      <c r="A5" s="8">
        <v>44842</v>
      </c>
      <c r="B5" s="4" t="s">
        <v>3120</v>
      </c>
      <c r="C5" s="8">
        <v>45067</v>
      </c>
      <c r="D5" s="4" t="s">
        <v>3326</v>
      </c>
      <c r="E5" s="4">
        <v>3000</v>
      </c>
      <c r="F5" s="4" t="s">
        <v>3185</v>
      </c>
      <c r="G5" s="4" t="s">
        <v>3236</v>
      </c>
      <c r="H5" s="4" t="s">
        <v>3280</v>
      </c>
      <c r="I5" s="4" t="s">
        <v>3329</v>
      </c>
      <c r="J5" s="4">
        <v>12550</v>
      </c>
      <c r="K5" s="4">
        <v>8120042144</v>
      </c>
      <c r="L5" s="4"/>
    </row>
    <row r="6" spans="1:13" x14ac:dyDescent="0.25">
      <c r="A6" s="8">
        <v>44845</v>
      </c>
      <c r="B6" s="4" t="s">
        <v>3125</v>
      </c>
      <c r="C6" s="4"/>
      <c r="D6" s="4" t="s">
        <v>3126</v>
      </c>
      <c r="E6" s="4">
        <v>7500</v>
      </c>
      <c r="F6" s="4" t="s">
        <v>3153</v>
      </c>
      <c r="G6" s="4"/>
      <c r="H6" s="4"/>
      <c r="I6" s="4"/>
      <c r="J6" s="4">
        <v>17500</v>
      </c>
      <c r="K6" s="4"/>
      <c r="L6" s="4" t="s">
        <v>3115</v>
      </c>
    </row>
    <row r="7" spans="1:13" x14ac:dyDescent="0.25">
      <c r="A7" s="35">
        <v>44846</v>
      </c>
      <c r="B7" s="34" t="s">
        <v>3127</v>
      </c>
      <c r="C7" s="36"/>
      <c r="D7" s="34" t="s">
        <v>3128</v>
      </c>
      <c r="E7" s="34">
        <v>11750</v>
      </c>
      <c r="F7" s="34" t="s">
        <v>3237</v>
      </c>
      <c r="G7" s="36"/>
      <c r="H7" s="36"/>
      <c r="I7" s="36"/>
      <c r="J7" s="34">
        <v>23500</v>
      </c>
      <c r="K7" s="36"/>
      <c r="L7" s="34" t="s">
        <v>3115</v>
      </c>
    </row>
    <row r="8" spans="1:13" x14ac:dyDescent="0.25">
      <c r="A8" s="8">
        <v>44847</v>
      </c>
      <c r="B8" s="4" t="s">
        <v>3129</v>
      </c>
      <c r="C8" s="4"/>
      <c r="D8" s="4" t="s">
        <v>3130</v>
      </c>
      <c r="E8" s="4">
        <v>9000</v>
      </c>
      <c r="F8" s="4"/>
      <c r="G8" s="4"/>
      <c r="H8" s="4"/>
      <c r="I8" s="4"/>
      <c r="J8" s="4">
        <v>9000</v>
      </c>
      <c r="K8" s="4"/>
      <c r="L8" s="4" t="s">
        <v>3115</v>
      </c>
    </row>
    <row r="9" spans="1:13" x14ac:dyDescent="0.25">
      <c r="A9" s="8">
        <v>44849</v>
      </c>
      <c r="B9" s="4" t="s">
        <v>3134</v>
      </c>
      <c r="C9" s="8">
        <v>44947</v>
      </c>
      <c r="D9" s="4" t="s">
        <v>3135</v>
      </c>
      <c r="E9" s="4">
        <v>11000</v>
      </c>
      <c r="F9" s="4" t="s">
        <v>3247</v>
      </c>
      <c r="G9" s="4"/>
      <c r="H9" s="4"/>
      <c r="I9" s="4"/>
      <c r="J9" s="4">
        <v>27500</v>
      </c>
      <c r="K9" s="4"/>
      <c r="L9" s="4" t="s">
        <v>3115</v>
      </c>
    </row>
    <row r="10" spans="1:13" x14ac:dyDescent="0.25">
      <c r="A10" s="8">
        <v>44849</v>
      </c>
      <c r="B10" s="4" t="s">
        <v>3137</v>
      </c>
      <c r="C10" s="4"/>
      <c r="D10" s="4" t="s">
        <v>457</v>
      </c>
      <c r="E10" s="4">
        <v>5000</v>
      </c>
      <c r="F10" s="4"/>
      <c r="G10" s="4"/>
      <c r="H10" s="4"/>
      <c r="I10" s="4"/>
      <c r="J10" s="4">
        <v>12500</v>
      </c>
      <c r="K10" s="4"/>
      <c r="L10" s="4" t="s">
        <v>3115</v>
      </c>
    </row>
    <row r="11" spans="1:13" x14ac:dyDescent="0.25">
      <c r="A11" s="8">
        <v>44849</v>
      </c>
      <c r="B11" s="4" t="s">
        <v>3138</v>
      </c>
      <c r="C11" s="4"/>
      <c r="D11" s="4" t="s">
        <v>14</v>
      </c>
      <c r="E11" s="4">
        <v>2440</v>
      </c>
      <c r="F11" s="4" t="s">
        <v>3192</v>
      </c>
      <c r="G11" s="4" t="s">
        <v>3211</v>
      </c>
      <c r="H11" s="4"/>
      <c r="I11" s="4"/>
      <c r="J11" s="4">
        <v>6100</v>
      </c>
      <c r="K11" s="1"/>
      <c r="L11" s="1" t="s">
        <v>3115</v>
      </c>
    </row>
    <row r="12" spans="1:13" x14ac:dyDescent="0.25">
      <c r="A12" s="8">
        <v>44849</v>
      </c>
      <c r="B12" s="4" t="s">
        <v>3139</v>
      </c>
      <c r="C12" s="4"/>
      <c r="D12" s="4" t="s">
        <v>3140</v>
      </c>
      <c r="E12" s="4">
        <v>2000</v>
      </c>
      <c r="F12" s="4"/>
      <c r="G12" s="4"/>
      <c r="H12" s="4"/>
      <c r="I12" s="4"/>
      <c r="J12" s="4">
        <v>17300</v>
      </c>
      <c r="K12" s="4"/>
      <c r="L12" s="4"/>
    </row>
    <row r="13" spans="1:13" x14ac:dyDescent="0.25">
      <c r="A13" s="8">
        <v>44855</v>
      </c>
      <c r="B13" s="4" t="s">
        <v>3150</v>
      </c>
      <c r="C13" s="4"/>
      <c r="D13" s="4" t="s">
        <v>3151</v>
      </c>
      <c r="E13" s="4">
        <v>5700</v>
      </c>
      <c r="F13" s="4" t="s">
        <v>3243</v>
      </c>
      <c r="G13" s="4"/>
      <c r="H13" s="4"/>
      <c r="I13" s="4"/>
      <c r="J13" s="4">
        <v>14700</v>
      </c>
      <c r="K13" s="4"/>
      <c r="L13" s="4" t="s">
        <v>3115</v>
      </c>
      <c r="M13" s="51"/>
    </row>
    <row r="14" spans="1:13" x14ac:dyDescent="0.25">
      <c r="A14" s="8">
        <v>44856</v>
      </c>
      <c r="B14" s="4" t="s">
        <v>3156</v>
      </c>
      <c r="C14" s="4"/>
      <c r="D14" s="4" t="s">
        <v>3157</v>
      </c>
      <c r="E14" s="4">
        <v>2340</v>
      </c>
      <c r="F14" s="4" t="s">
        <v>3205</v>
      </c>
      <c r="G14" s="4" t="s">
        <v>3266</v>
      </c>
      <c r="H14" s="4" t="s">
        <v>3308</v>
      </c>
      <c r="I14" s="4"/>
      <c r="J14" s="4">
        <v>12150</v>
      </c>
      <c r="K14" s="1"/>
      <c r="L14" s="1" t="s">
        <v>3158</v>
      </c>
    </row>
    <row r="15" spans="1:13" x14ac:dyDescent="0.25">
      <c r="A15" s="4" t="s">
        <v>3168</v>
      </c>
      <c r="B15" s="4" t="s">
        <v>3169</v>
      </c>
      <c r="C15" s="5">
        <v>45038</v>
      </c>
      <c r="D15" s="4" t="s">
        <v>3412</v>
      </c>
      <c r="E15" s="4">
        <v>3500</v>
      </c>
      <c r="F15" s="4" t="s">
        <v>3221</v>
      </c>
      <c r="G15" s="4" t="s">
        <v>3307</v>
      </c>
      <c r="H15" s="4">
        <v>2350</v>
      </c>
      <c r="I15" s="4"/>
      <c r="J15" s="4">
        <v>14850</v>
      </c>
      <c r="K15" s="4"/>
      <c r="L15" s="4"/>
      <c r="M15" t="s">
        <v>3413</v>
      </c>
    </row>
    <row r="16" spans="1:13" x14ac:dyDescent="0.25">
      <c r="A16" s="5">
        <v>44865</v>
      </c>
      <c r="B16" s="4" t="s">
        <v>3171</v>
      </c>
      <c r="C16" s="4"/>
      <c r="D16" s="4" t="s">
        <v>3323</v>
      </c>
      <c r="E16" s="4">
        <v>5000</v>
      </c>
      <c r="F16" s="4" t="s">
        <v>3222</v>
      </c>
      <c r="G16" s="4" t="s">
        <v>3277</v>
      </c>
      <c r="H16" s="4" t="s">
        <v>3324</v>
      </c>
      <c r="I16" s="4" t="s">
        <v>3376</v>
      </c>
      <c r="J16" s="4">
        <v>17400</v>
      </c>
      <c r="K16" s="4"/>
      <c r="L16" s="4" t="s">
        <v>3115</v>
      </c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14"/>
  <sheetViews>
    <sheetView zoomScale="110" zoomScaleNormal="110" workbookViewId="0"/>
  </sheetViews>
  <sheetFormatPr baseColWidth="10" defaultRowHeight="15" x14ac:dyDescent="0.25"/>
  <cols>
    <col min="1" max="1" width="11.140625" customWidth="1"/>
    <col min="2" max="2" width="31" customWidth="1"/>
    <col min="3" max="3" width="18.7109375" customWidth="1"/>
    <col min="4" max="4" width="32.5703125" customWidth="1"/>
    <col min="5" max="5" width="14" customWidth="1"/>
    <col min="6" max="6" width="13" customWidth="1"/>
    <col min="7" max="9" width="12" customWidth="1"/>
    <col min="10" max="10" width="13" customWidth="1"/>
  </cols>
  <sheetData>
    <row r="1" spans="1:11" x14ac:dyDescent="0.25">
      <c r="A1" s="92" t="s">
        <v>3173</v>
      </c>
      <c r="B1" s="92" t="s">
        <v>3174</v>
      </c>
      <c r="C1" s="92" t="s">
        <v>3317</v>
      </c>
      <c r="D1" s="92" t="s">
        <v>3175</v>
      </c>
      <c r="E1" s="93" t="s">
        <v>3176</v>
      </c>
      <c r="F1" s="92" t="s">
        <v>3177</v>
      </c>
      <c r="G1" s="92" t="s">
        <v>3178</v>
      </c>
      <c r="H1" s="92" t="s">
        <v>3179</v>
      </c>
      <c r="I1" s="92" t="s">
        <v>3180</v>
      </c>
      <c r="J1" s="93" t="s">
        <v>3181</v>
      </c>
      <c r="K1" s="92" t="s">
        <v>3390</v>
      </c>
    </row>
    <row r="2" spans="1:11" x14ac:dyDescent="0.25">
      <c r="A2" s="48">
        <v>44867</v>
      </c>
      <c r="B2" s="36" t="s">
        <v>3182</v>
      </c>
      <c r="C2" s="36">
        <v>811712041</v>
      </c>
      <c r="D2" s="36" t="s">
        <v>3183</v>
      </c>
      <c r="E2" s="94">
        <v>1100</v>
      </c>
      <c r="F2" s="94" t="s">
        <v>3223</v>
      </c>
      <c r="G2" s="36" t="s">
        <v>3300</v>
      </c>
      <c r="H2" s="36" t="s">
        <v>3369</v>
      </c>
      <c r="I2" s="36" t="s">
        <v>3534</v>
      </c>
      <c r="J2" s="94">
        <v>6100</v>
      </c>
    </row>
    <row r="3" spans="1:11" x14ac:dyDescent="0.25">
      <c r="A3" s="48">
        <v>44870</v>
      </c>
      <c r="B3" s="36" t="s">
        <v>3188</v>
      </c>
      <c r="C3" s="36"/>
      <c r="D3" s="36" t="s">
        <v>3240</v>
      </c>
      <c r="E3" s="94">
        <v>4790</v>
      </c>
      <c r="F3" s="36" t="s">
        <v>3241</v>
      </c>
      <c r="G3" s="36" t="s">
        <v>3378</v>
      </c>
      <c r="H3" s="36" t="s">
        <v>3394</v>
      </c>
      <c r="I3" s="36" t="s">
        <v>3395</v>
      </c>
      <c r="J3" s="94">
        <v>15150</v>
      </c>
    </row>
    <row r="4" spans="1:11" x14ac:dyDescent="0.25">
      <c r="A4" s="48">
        <v>44870</v>
      </c>
      <c r="B4" s="36" t="s">
        <v>3189</v>
      </c>
      <c r="C4" s="36"/>
      <c r="D4" s="36" t="s">
        <v>3235</v>
      </c>
      <c r="E4" s="94">
        <v>4400</v>
      </c>
      <c r="F4" s="36" t="s">
        <v>3234</v>
      </c>
      <c r="G4" s="36"/>
      <c r="H4" s="36"/>
      <c r="I4" s="36"/>
      <c r="J4" s="94">
        <v>9800</v>
      </c>
    </row>
    <row r="5" spans="1:11" x14ac:dyDescent="0.25">
      <c r="A5" s="48">
        <v>44870</v>
      </c>
      <c r="B5" s="36" t="s">
        <v>3202</v>
      </c>
      <c r="C5" s="36"/>
      <c r="D5" s="36" t="s">
        <v>3191</v>
      </c>
      <c r="E5" s="94">
        <v>3060</v>
      </c>
      <c r="F5" s="36" t="s">
        <v>3261</v>
      </c>
      <c r="G5" s="36" t="s">
        <v>3339</v>
      </c>
      <c r="H5" s="36" t="s">
        <v>3370</v>
      </c>
      <c r="I5" s="36"/>
      <c r="J5" s="94">
        <v>15300</v>
      </c>
    </row>
    <row r="6" spans="1:11" x14ac:dyDescent="0.25">
      <c r="A6" s="35">
        <v>44876</v>
      </c>
      <c r="B6" s="36" t="s">
        <v>3193</v>
      </c>
      <c r="C6" s="36"/>
      <c r="D6" s="36" t="s">
        <v>657</v>
      </c>
      <c r="E6" s="94">
        <v>5940</v>
      </c>
      <c r="F6" s="36" t="s">
        <v>3263</v>
      </c>
      <c r="G6" s="36" t="s">
        <v>3289</v>
      </c>
      <c r="H6" s="36"/>
      <c r="I6" s="36"/>
      <c r="J6" s="94">
        <v>13400</v>
      </c>
    </row>
    <row r="7" spans="1:11" x14ac:dyDescent="0.25">
      <c r="A7" s="35">
        <v>44877</v>
      </c>
      <c r="B7" s="36" t="s">
        <v>3194</v>
      </c>
      <c r="C7" s="36"/>
      <c r="D7" s="36" t="s">
        <v>3195</v>
      </c>
      <c r="E7" s="94">
        <v>3780</v>
      </c>
      <c r="F7" s="36">
        <v>3780</v>
      </c>
      <c r="G7" s="36" t="s">
        <v>3294</v>
      </c>
      <c r="H7" s="36" t="s">
        <v>3356</v>
      </c>
      <c r="I7" s="36" t="s">
        <v>3374</v>
      </c>
      <c r="J7" s="94">
        <v>18900</v>
      </c>
    </row>
    <row r="8" spans="1:11" x14ac:dyDescent="0.25">
      <c r="A8" s="35">
        <v>44877</v>
      </c>
      <c r="B8" s="36" t="s">
        <v>3196</v>
      </c>
      <c r="C8" s="36"/>
      <c r="D8" s="36" t="s">
        <v>3197</v>
      </c>
      <c r="E8" s="94">
        <v>3060</v>
      </c>
      <c r="F8" s="36" t="s">
        <v>3321</v>
      </c>
      <c r="G8" s="36" t="s">
        <v>3687</v>
      </c>
      <c r="H8" s="36"/>
      <c r="I8" s="36"/>
      <c r="J8" s="94">
        <v>18000</v>
      </c>
      <c r="K8" t="s">
        <v>3761</v>
      </c>
    </row>
    <row r="9" spans="1:11" x14ac:dyDescent="0.25">
      <c r="A9" s="35">
        <v>44877</v>
      </c>
      <c r="B9" s="36" t="s">
        <v>3198</v>
      </c>
      <c r="C9" s="36"/>
      <c r="D9" s="36" t="s">
        <v>723</v>
      </c>
      <c r="E9" s="94">
        <v>2000</v>
      </c>
      <c r="F9" s="36" t="s">
        <v>3199</v>
      </c>
      <c r="G9" s="36"/>
      <c r="H9" s="36"/>
      <c r="I9" s="36"/>
      <c r="J9" s="94">
        <v>15300</v>
      </c>
    </row>
    <row r="10" spans="1:11" x14ac:dyDescent="0.25">
      <c r="A10" s="35">
        <v>44880</v>
      </c>
      <c r="B10" s="36" t="s">
        <v>3200</v>
      </c>
      <c r="C10" s="36">
        <v>8134021955</v>
      </c>
      <c r="D10" s="36" t="s">
        <v>3360</v>
      </c>
      <c r="E10" s="94">
        <v>2700</v>
      </c>
      <c r="F10" s="36" t="s">
        <v>3262</v>
      </c>
      <c r="G10" s="36" t="s">
        <v>3359</v>
      </c>
      <c r="H10" s="36" t="s">
        <v>3361</v>
      </c>
      <c r="I10" s="36" t="s">
        <v>3430</v>
      </c>
      <c r="J10" s="94">
        <v>12500</v>
      </c>
    </row>
    <row r="11" spans="1:11" x14ac:dyDescent="0.25">
      <c r="A11" s="35">
        <v>44881</v>
      </c>
      <c r="B11" s="36" t="s">
        <v>3208</v>
      </c>
      <c r="C11" s="36"/>
      <c r="D11" s="36" t="s">
        <v>1150</v>
      </c>
      <c r="E11" s="94">
        <v>6480</v>
      </c>
      <c r="F11" s="36" t="s">
        <v>3249</v>
      </c>
      <c r="G11" s="36">
        <v>720</v>
      </c>
      <c r="H11" s="36"/>
      <c r="I11" s="36"/>
      <c r="J11" s="94">
        <v>16200</v>
      </c>
    </row>
    <row r="12" spans="1:11" x14ac:dyDescent="0.25">
      <c r="A12" s="35">
        <v>44883</v>
      </c>
      <c r="B12" s="36" t="s">
        <v>3209</v>
      </c>
      <c r="C12" s="36"/>
      <c r="D12" s="36" t="s">
        <v>197</v>
      </c>
      <c r="E12" s="94">
        <v>1540</v>
      </c>
      <c r="F12" s="48" t="s">
        <v>3291</v>
      </c>
      <c r="G12" s="36"/>
      <c r="H12" s="36"/>
      <c r="I12" s="36"/>
      <c r="J12" s="94">
        <v>7700</v>
      </c>
    </row>
    <row r="13" spans="1:11" x14ac:dyDescent="0.25">
      <c r="A13" s="35">
        <v>44895</v>
      </c>
      <c r="B13" s="36" t="s">
        <v>3220</v>
      </c>
      <c r="C13" s="36"/>
      <c r="D13" s="36" t="s">
        <v>3327</v>
      </c>
      <c r="E13" s="94">
        <v>6200</v>
      </c>
      <c r="F13" s="36" t="s">
        <v>3273</v>
      </c>
      <c r="G13" s="36" t="s">
        <v>3328</v>
      </c>
      <c r="H13" s="36"/>
      <c r="I13" s="36"/>
      <c r="J13" s="94">
        <v>14300</v>
      </c>
    </row>
    <row r="14" spans="1:11" x14ac:dyDescent="0.25">
      <c r="A14" s="96">
        <v>44891</v>
      </c>
      <c r="B14" s="9" t="s">
        <v>3264</v>
      </c>
      <c r="C14" s="9"/>
      <c r="D14" s="9" t="s">
        <v>3265</v>
      </c>
      <c r="E14" s="9">
        <v>1040</v>
      </c>
      <c r="F14" s="9" t="s">
        <v>3267</v>
      </c>
      <c r="G14" s="9"/>
      <c r="H14" s="9"/>
      <c r="I14" s="9"/>
      <c r="J14" s="97">
        <v>5200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14"/>
  <sheetViews>
    <sheetView workbookViewId="0">
      <selection activeCell="C18" sqref="C18"/>
    </sheetView>
  </sheetViews>
  <sheetFormatPr baseColWidth="10" defaultRowHeight="15" x14ac:dyDescent="0.25"/>
  <cols>
    <col min="1" max="1" width="12" customWidth="1"/>
    <col min="2" max="2" width="23.28515625" customWidth="1"/>
    <col min="3" max="3" width="20.85546875" customWidth="1"/>
    <col min="4" max="4" width="39.140625" customWidth="1"/>
    <col min="5" max="5" width="13.28515625" customWidth="1"/>
    <col min="6" max="6" width="15.5703125" customWidth="1"/>
    <col min="7" max="7" width="14.140625" customWidth="1"/>
    <col min="8" max="8" width="14.5703125" customWidth="1"/>
    <col min="9" max="9" width="18.140625" customWidth="1"/>
  </cols>
  <sheetData>
    <row r="1" spans="1:13" x14ac:dyDescent="0.25">
      <c r="A1" s="90" t="s">
        <v>3173</v>
      </c>
      <c r="B1" s="90" t="s">
        <v>3174</v>
      </c>
      <c r="C1" s="90" t="s">
        <v>3399</v>
      </c>
      <c r="D1" s="90" t="s">
        <v>3175</v>
      </c>
      <c r="E1" s="85" t="s">
        <v>3225</v>
      </c>
      <c r="F1" s="90" t="s">
        <v>3226</v>
      </c>
      <c r="G1" s="90" t="s">
        <v>3227</v>
      </c>
      <c r="H1" s="90" t="s">
        <v>3228</v>
      </c>
      <c r="I1" s="90" t="s">
        <v>3229</v>
      </c>
      <c r="J1" s="90" t="s">
        <v>3542</v>
      </c>
      <c r="K1" s="90" t="s">
        <v>3181</v>
      </c>
      <c r="L1" s="90" t="s">
        <v>3317</v>
      </c>
    </row>
    <row r="2" spans="1:13" x14ac:dyDescent="0.25">
      <c r="A2" s="48">
        <v>44897</v>
      </c>
      <c r="B2" s="36" t="s">
        <v>3230</v>
      </c>
      <c r="C2" s="36"/>
      <c r="D2" s="36" t="s">
        <v>3231</v>
      </c>
      <c r="E2" s="103">
        <v>5000</v>
      </c>
      <c r="F2" s="4" t="s">
        <v>3278</v>
      </c>
      <c r="G2" s="4" t="s">
        <v>3325</v>
      </c>
      <c r="H2" s="4" t="s">
        <v>3345</v>
      </c>
      <c r="I2" s="4" t="s">
        <v>3760</v>
      </c>
      <c r="J2" s="4"/>
      <c r="K2" s="94">
        <v>19400</v>
      </c>
      <c r="L2" s="36"/>
    </row>
    <row r="3" spans="1:13" x14ac:dyDescent="0.25">
      <c r="A3" s="35">
        <v>44902</v>
      </c>
      <c r="B3" s="36" t="s">
        <v>3239</v>
      </c>
      <c r="C3" s="36">
        <v>8661713906</v>
      </c>
      <c r="D3" s="36" t="s">
        <v>3447</v>
      </c>
      <c r="E3" s="31">
        <v>2340</v>
      </c>
      <c r="F3" s="4" t="s">
        <v>3299</v>
      </c>
      <c r="G3" s="4" t="s">
        <v>3341</v>
      </c>
      <c r="H3" s="4" t="s">
        <v>3414</v>
      </c>
      <c r="I3" s="4" t="s">
        <v>3448</v>
      </c>
      <c r="J3" s="4"/>
      <c r="K3" s="94">
        <v>14450</v>
      </c>
    </row>
    <row r="4" spans="1:13" x14ac:dyDescent="0.25">
      <c r="A4" s="35">
        <v>44902</v>
      </c>
      <c r="B4" s="36" t="s">
        <v>3244</v>
      </c>
      <c r="C4" s="36"/>
      <c r="D4" s="36" t="s">
        <v>3335</v>
      </c>
      <c r="E4" s="103">
        <v>7860</v>
      </c>
      <c r="F4" s="4" t="s">
        <v>3279</v>
      </c>
      <c r="G4" s="4" t="s">
        <v>3334</v>
      </c>
      <c r="H4" s="4" t="s">
        <v>3415</v>
      </c>
      <c r="I4" s="4"/>
      <c r="J4" s="4"/>
      <c r="K4" s="94">
        <v>30660</v>
      </c>
    </row>
    <row r="5" spans="1:13" x14ac:dyDescent="0.25">
      <c r="A5" s="96">
        <v>44907</v>
      </c>
      <c r="B5" s="9" t="s">
        <v>3250</v>
      </c>
      <c r="C5" s="9"/>
      <c r="D5" s="9" t="s">
        <v>3251</v>
      </c>
      <c r="E5" s="104">
        <v>4500</v>
      </c>
      <c r="F5" s="10"/>
      <c r="G5" s="10"/>
      <c r="H5" s="10"/>
      <c r="I5" s="10"/>
      <c r="J5" s="10"/>
      <c r="K5" s="97">
        <v>25500</v>
      </c>
    </row>
    <row r="6" spans="1:13" x14ac:dyDescent="0.25">
      <c r="A6" s="35">
        <v>44909</v>
      </c>
      <c r="B6" s="36" t="s">
        <v>3253</v>
      </c>
      <c r="C6" s="36"/>
      <c r="D6" s="36" t="s">
        <v>3646</v>
      </c>
      <c r="E6" s="103">
        <v>4100</v>
      </c>
      <c r="F6" s="4" t="s">
        <v>3645</v>
      </c>
      <c r="G6" s="4"/>
      <c r="H6" s="4"/>
      <c r="I6" s="4"/>
      <c r="J6" s="4"/>
      <c r="K6" s="94">
        <v>23300</v>
      </c>
      <c r="L6" s="36" t="s">
        <v>3398</v>
      </c>
    </row>
    <row r="7" spans="1:13" x14ac:dyDescent="0.25">
      <c r="A7" s="35">
        <v>44912</v>
      </c>
      <c r="B7" s="36" t="s">
        <v>3257</v>
      </c>
      <c r="C7" s="36"/>
      <c r="D7" s="36" t="s">
        <v>3305</v>
      </c>
      <c r="E7" s="103">
        <v>8040</v>
      </c>
      <c r="F7" s="4" t="s">
        <v>3306</v>
      </c>
      <c r="G7" s="4" t="s">
        <v>3364</v>
      </c>
      <c r="H7" s="4">
        <v>4020</v>
      </c>
      <c r="I7" s="4"/>
      <c r="J7" s="4"/>
      <c r="K7" s="94">
        <v>20100</v>
      </c>
    </row>
    <row r="8" spans="1:13" x14ac:dyDescent="0.25">
      <c r="A8" s="35">
        <v>44912</v>
      </c>
      <c r="B8" s="36" t="s">
        <v>3259</v>
      </c>
      <c r="C8" s="36"/>
      <c r="D8" s="36" t="s">
        <v>3258</v>
      </c>
      <c r="E8" s="103">
        <v>3113</v>
      </c>
      <c r="F8" s="4" t="s">
        <v>3292</v>
      </c>
      <c r="G8" s="4"/>
      <c r="H8" s="4"/>
      <c r="I8" s="4"/>
      <c r="J8" s="4"/>
      <c r="K8" s="94">
        <v>12450</v>
      </c>
      <c r="L8" s="36"/>
    </row>
    <row r="9" spans="1:13" x14ac:dyDescent="0.25">
      <c r="A9" s="35">
        <v>44914</v>
      </c>
      <c r="B9" s="36" t="s">
        <v>3260</v>
      </c>
      <c r="C9" s="36">
        <v>8111741945</v>
      </c>
      <c r="D9" s="36" t="s">
        <v>3515</v>
      </c>
      <c r="E9" s="31">
        <v>3440</v>
      </c>
      <c r="F9" s="4" t="s">
        <v>3304</v>
      </c>
      <c r="G9" s="4" t="s">
        <v>3372</v>
      </c>
      <c r="H9" s="4" t="s">
        <v>3464</v>
      </c>
      <c r="I9" s="4" t="s">
        <v>3514</v>
      </c>
      <c r="J9" s="4"/>
      <c r="K9" s="94">
        <v>18100</v>
      </c>
    </row>
    <row r="10" spans="1:13" x14ac:dyDescent="0.25">
      <c r="A10" s="35">
        <v>44918</v>
      </c>
      <c r="B10" s="36" t="s">
        <v>3270</v>
      </c>
      <c r="C10" s="36"/>
      <c r="D10" s="36" t="s">
        <v>3766</v>
      </c>
      <c r="E10" s="4">
        <v>2340</v>
      </c>
      <c r="F10" s="4" t="s">
        <v>3314</v>
      </c>
      <c r="G10" s="4" t="s">
        <v>3393</v>
      </c>
      <c r="H10" s="4" t="s">
        <v>3442</v>
      </c>
      <c r="I10" s="4" t="s">
        <v>3477</v>
      </c>
      <c r="J10" s="4" t="s">
        <v>111</v>
      </c>
      <c r="K10" s="94">
        <v>11700</v>
      </c>
    </row>
    <row r="11" spans="1:13" x14ac:dyDescent="0.25">
      <c r="A11" s="35">
        <v>44918</v>
      </c>
      <c r="B11" s="36" t="s">
        <v>3271</v>
      </c>
      <c r="C11" s="36">
        <v>8180809505</v>
      </c>
      <c r="D11" s="36" t="s">
        <v>3272</v>
      </c>
      <c r="E11" s="4">
        <v>3780</v>
      </c>
      <c r="F11" s="4" t="s">
        <v>3309</v>
      </c>
      <c r="G11" s="4">
        <v>13000</v>
      </c>
      <c r="H11" s="4" t="s">
        <v>3469</v>
      </c>
      <c r="I11" s="4"/>
      <c r="J11" s="4"/>
      <c r="K11" s="94">
        <v>22500</v>
      </c>
      <c r="L11" s="36"/>
      <c r="M11" s="36"/>
    </row>
    <row r="12" spans="1:13" x14ac:dyDescent="0.25">
      <c r="E12" s="1"/>
      <c r="F12" s="1"/>
      <c r="G12" s="1"/>
      <c r="H12" s="1"/>
      <c r="I12" s="1"/>
      <c r="J12" s="1"/>
    </row>
    <row r="14" spans="1:13" x14ac:dyDescent="0.25">
      <c r="C14" t="s">
        <v>3543</v>
      </c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22"/>
  <sheetViews>
    <sheetView topLeftCell="A7" workbookViewId="0">
      <selection activeCell="B11" sqref="B11"/>
    </sheetView>
  </sheetViews>
  <sheetFormatPr baseColWidth="10" defaultRowHeight="15" x14ac:dyDescent="0.25"/>
  <cols>
    <col min="1" max="1" width="10" customWidth="1"/>
    <col min="2" max="2" width="28" customWidth="1"/>
    <col min="3" max="3" width="14.85546875" customWidth="1"/>
    <col min="4" max="4" width="33.140625" customWidth="1"/>
    <col min="5" max="6" width="12" customWidth="1"/>
    <col min="7" max="7" width="17.140625" customWidth="1"/>
    <col min="8" max="8" width="19.85546875" customWidth="1"/>
    <col min="9" max="10" width="12" customWidth="1"/>
  </cols>
  <sheetData>
    <row r="1" spans="1:14" x14ac:dyDescent="0.25">
      <c r="A1" t="s">
        <v>3173</v>
      </c>
      <c r="B1" t="s">
        <v>3174</v>
      </c>
      <c r="C1" t="s">
        <v>3399</v>
      </c>
      <c r="D1" t="s">
        <v>3175</v>
      </c>
      <c r="E1" t="s">
        <v>3176</v>
      </c>
      <c r="F1" t="s">
        <v>3226</v>
      </c>
      <c r="G1" t="s">
        <v>3227</v>
      </c>
      <c r="H1" t="s">
        <v>3228</v>
      </c>
      <c r="I1" t="s">
        <v>3229</v>
      </c>
      <c r="J1" t="s">
        <v>3542</v>
      </c>
      <c r="K1" t="s">
        <v>3181</v>
      </c>
      <c r="L1" t="s">
        <v>3390</v>
      </c>
      <c r="M1" t="s">
        <v>3455</v>
      </c>
      <c r="N1" t="s">
        <v>3457</v>
      </c>
    </row>
    <row r="2" spans="1:14" x14ac:dyDescent="0.25">
      <c r="A2" s="35">
        <v>44933</v>
      </c>
      <c r="B2" s="36" t="s">
        <v>3284</v>
      </c>
      <c r="C2" s="36">
        <v>8110652300</v>
      </c>
      <c r="D2" s="36" t="s">
        <v>3467</v>
      </c>
      <c r="E2" s="36">
        <v>1620</v>
      </c>
      <c r="F2" s="36" t="s">
        <v>3342</v>
      </c>
      <c r="G2" s="36" t="s">
        <v>3466</v>
      </c>
      <c r="H2" s="36"/>
      <c r="I2" s="36"/>
      <c r="J2" s="36"/>
      <c r="K2" s="94">
        <v>8800</v>
      </c>
    </row>
    <row r="3" spans="1:14" x14ac:dyDescent="0.25">
      <c r="A3" s="35">
        <v>44933</v>
      </c>
      <c r="B3" s="36" t="s">
        <v>3285</v>
      </c>
      <c r="C3" s="36">
        <v>8123434437</v>
      </c>
      <c r="D3" s="36" t="s">
        <v>3483</v>
      </c>
      <c r="E3" s="36">
        <v>2430</v>
      </c>
      <c r="F3" s="36" t="s">
        <v>3333</v>
      </c>
      <c r="G3" s="36" t="s">
        <v>3445</v>
      </c>
      <c r="H3" s="36" t="s">
        <v>3484</v>
      </c>
      <c r="I3" s="36"/>
      <c r="J3" s="36"/>
      <c r="K3" s="94">
        <v>14400</v>
      </c>
    </row>
    <row r="4" spans="1:14" x14ac:dyDescent="0.25">
      <c r="A4" s="35">
        <v>44933</v>
      </c>
      <c r="B4" s="36" t="s">
        <v>3287</v>
      </c>
      <c r="C4" s="36">
        <v>8122188209</v>
      </c>
      <c r="D4" s="36" t="s">
        <v>1525</v>
      </c>
      <c r="E4" s="36">
        <v>3060</v>
      </c>
      <c r="F4" s="36" t="s">
        <v>3388</v>
      </c>
      <c r="G4" s="36" t="s">
        <v>3406</v>
      </c>
      <c r="H4" s="36" t="s">
        <v>3509</v>
      </c>
      <c r="I4" s="36"/>
      <c r="J4" s="36"/>
      <c r="K4" s="94">
        <v>15300</v>
      </c>
      <c r="L4" s="36"/>
    </row>
    <row r="5" spans="1:14" x14ac:dyDescent="0.25">
      <c r="A5" s="35">
        <v>44937</v>
      </c>
      <c r="B5" s="36" t="s">
        <v>3288</v>
      </c>
      <c r="C5" s="36">
        <v>8128690243</v>
      </c>
      <c r="D5" s="36" t="s">
        <v>3381</v>
      </c>
      <c r="E5" s="36">
        <v>2160</v>
      </c>
      <c r="F5" s="36" t="s">
        <v>3342</v>
      </c>
      <c r="G5" s="36" t="s">
        <v>3380</v>
      </c>
      <c r="H5" s="36" t="s">
        <v>3454</v>
      </c>
      <c r="I5" s="36"/>
      <c r="J5" s="36"/>
      <c r="K5" s="94">
        <v>11500</v>
      </c>
      <c r="L5" s="36"/>
    </row>
    <row r="6" spans="1:14" x14ac:dyDescent="0.25">
      <c r="A6" s="35">
        <v>44939</v>
      </c>
      <c r="B6" s="36" t="s">
        <v>3293</v>
      </c>
      <c r="C6" s="36">
        <v>8114660930</v>
      </c>
      <c r="D6" s="36" t="s">
        <v>2663</v>
      </c>
      <c r="E6" s="36">
        <v>3240</v>
      </c>
      <c r="F6" s="36" t="s">
        <v>3391</v>
      </c>
      <c r="G6" s="36" t="s">
        <v>3460</v>
      </c>
      <c r="H6" s="36" t="s">
        <v>3501</v>
      </c>
      <c r="I6" s="36" t="s">
        <v>3607</v>
      </c>
      <c r="J6" s="36"/>
      <c r="K6" s="94">
        <v>16200</v>
      </c>
    </row>
    <row r="7" spans="1:14" x14ac:dyDescent="0.25">
      <c r="A7" s="35">
        <v>44939</v>
      </c>
      <c r="B7" s="36" t="s">
        <v>3348</v>
      </c>
      <c r="C7" s="36">
        <v>8186913120</v>
      </c>
      <c r="D7" s="36" t="s">
        <v>3349</v>
      </c>
      <c r="E7" s="36">
        <v>5420</v>
      </c>
      <c r="F7" s="36" t="s">
        <v>3350</v>
      </c>
      <c r="G7" s="36" t="s">
        <v>3439</v>
      </c>
      <c r="H7" s="36" t="s">
        <v>3508</v>
      </c>
      <c r="I7" s="36" t="s">
        <v>3578</v>
      </c>
      <c r="J7" s="36"/>
      <c r="K7" s="94">
        <v>27100</v>
      </c>
    </row>
    <row r="8" spans="1:14" x14ac:dyDescent="0.25">
      <c r="A8" s="35">
        <v>44939</v>
      </c>
      <c r="B8" s="36" t="s">
        <v>3386</v>
      </c>
      <c r="C8" s="36">
        <v>8121894101</v>
      </c>
      <c r="D8" s="36" t="s">
        <v>3387</v>
      </c>
      <c r="E8" s="36">
        <v>4920</v>
      </c>
      <c r="F8" s="36" t="s">
        <v>3389</v>
      </c>
      <c r="G8" s="36" t="s">
        <v>3458</v>
      </c>
      <c r="H8" s="36" t="s">
        <v>3504</v>
      </c>
      <c r="I8" s="36"/>
      <c r="J8" s="36"/>
      <c r="K8" s="94">
        <v>24600</v>
      </c>
    </row>
    <row r="9" spans="1:14" x14ac:dyDescent="0.25">
      <c r="A9" s="35">
        <v>44940</v>
      </c>
      <c r="B9" s="36" t="s">
        <v>3302</v>
      </c>
      <c r="C9" s="36">
        <v>8123214363</v>
      </c>
      <c r="D9" s="36" t="s">
        <v>3303</v>
      </c>
      <c r="E9" s="36">
        <v>1164</v>
      </c>
      <c r="F9" s="36" t="s">
        <v>3358</v>
      </c>
      <c r="G9" s="36" t="s">
        <v>3436</v>
      </c>
      <c r="H9" s="36" t="s">
        <v>3518</v>
      </c>
      <c r="I9" s="36" t="s">
        <v>3601</v>
      </c>
      <c r="J9" s="36"/>
      <c r="K9" s="94">
        <v>8316</v>
      </c>
    </row>
    <row r="10" spans="1:14" x14ac:dyDescent="0.25">
      <c r="A10" s="35">
        <v>44940</v>
      </c>
      <c r="B10" s="36" t="s">
        <v>3295</v>
      </c>
      <c r="C10" s="36">
        <v>8126117983</v>
      </c>
      <c r="D10" s="36" t="s">
        <v>3157</v>
      </c>
      <c r="E10" s="36">
        <v>2430</v>
      </c>
      <c r="F10" s="36" t="s">
        <v>3362</v>
      </c>
      <c r="G10" s="36" t="s">
        <v>3446</v>
      </c>
      <c r="H10" s="36" t="s">
        <v>3516</v>
      </c>
      <c r="I10" s="36"/>
      <c r="J10" s="36"/>
      <c r="K10" s="94">
        <v>12150</v>
      </c>
    </row>
    <row r="11" spans="1:14" x14ac:dyDescent="0.25">
      <c r="A11" s="35">
        <v>44940</v>
      </c>
      <c r="B11" s="36" t="s">
        <v>3296</v>
      </c>
      <c r="C11" s="36">
        <v>8113888919</v>
      </c>
      <c r="D11" s="36" t="s">
        <v>1118</v>
      </c>
      <c r="E11" s="36">
        <v>2340</v>
      </c>
      <c r="F11" s="36" t="s">
        <v>2406</v>
      </c>
      <c r="G11" s="36" t="s">
        <v>3459</v>
      </c>
      <c r="H11" s="36" t="s">
        <v>3517</v>
      </c>
      <c r="I11" s="36"/>
      <c r="J11" s="36"/>
      <c r="K11" s="94">
        <v>11700</v>
      </c>
      <c r="L11" t="s">
        <v>3709</v>
      </c>
    </row>
    <row r="12" spans="1:14" x14ac:dyDescent="0.25">
      <c r="A12" s="35">
        <v>44947</v>
      </c>
      <c r="B12" s="36" t="s">
        <v>3310</v>
      </c>
      <c r="C12" s="36">
        <v>8129123312</v>
      </c>
      <c r="D12" s="36" t="s">
        <v>3311</v>
      </c>
      <c r="E12" s="36">
        <v>3000</v>
      </c>
      <c r="F12" s="36" t="s">
        <v>3440</v>
      </c>
      <c r="G12" s="36" t="s">
        <v>3634</v>
      </c>
      <c r="H12" s="36" t="s">
        <v>3631</v>
      </c>
      <c r="I12" s="36"/>
      <c r="J12" s="36"/>
      <c r="K12" s="94">
        <v>13950</v>
      </c>
      <c r="L12" s="36" t="s">
        <v>3456</v>
      </c>
      <c r="M12" s="36" t="s">
        <v>3697</v>
      </c>
      <c r="N12" s="36"/>
    </row>
    <row r="13" spans="1:14" x14ac:dyDescent="0.25">
      <c r="A13" s="35">
        <v>44947</v>
      </c>
      <c r="B13" s="36" t="s">
        <v>3366</v>
      </c>
      <c r="C13" s="36">
        <v>8110682700</v>
      </c>
      <c r="D13" s="36" t="s">
        <v>3195</v>
      </c>
      <c r="E13" s="36">
        <v>3240</v>
      </c>
      <c r="F13" s="36" t="s">
        <v>3371</v>
      </c>
      <c r="G13" s="36" t="s">
        <v>3499</v>
      </c>
      <c r="H13" s="36" t="s">
        <v>3674</v>
      </c>
      <c r="I13" s="36" t="s">
        <v>3790</v>
      </c>
      <c r="J13" s="36"/>
      <c r="K13" s="94">
        <v>21000</v>
      </c>
      <c r="L13" s="36" t="s">
        <v>3608</v>
      </c>
      <c r="M13" s="36"/>
      <c r="N13" s="36"/>
    </row>
    <row r="14" spans="1:14" x14ac:dyDescent="0.25">
      <c r="A14" s="35">
        <v>44947</v>
      </c>
      <c r="B14" s="36" t="s">
        <v>3401</v>
      </c>
      <c r="C14" s="36">
        <v>8110486102</v>
      </c>
      <c r="D14" s="36" t="s">
        <v>2692</v>
      </c>
      <c r="E14" s="36">
        <v>3340</v>
      </c>
      <c r="F14" s="36" t="s">
        <v>3402</v>
      </c>
      <c r="G14" s="36" t="s">
        <v>3461</v>
      </c>
      <c r="H14" s="36" t="s">
        <v>3529</v>
      </c>
      <c r="I14" s="36" t="s">
        <v>3592</v>
      </c>
      <c r="J14" s="36"/>
      <c r="K14" s="94">
        <v>16700</v>
      </c>
    </row>
    <row r="15" spans="1:14" x14ac:dyDescent="0.25">
      <c r="A15" s="35">
        <v>44950</v>
      </c>
      <c r="B15" s="36" t="s">
        <v>3316</v>
      </c>
      <c r="C15" s="36">
        <v>8182543183</v>
      </c>
      <c r="D15" s="36" t="s">
        <v>3416</v>
      </c>
      <c r="E15" s="36">
        <v>4860</v>
      </c>
      <c r="F15" s="36" t="s">
        <v>3379</v>
      </c>
      <c r="G15" s="36" t="s">
        <v>3417</v>
      </c>
      <c r="H15" s="36" t="s">
        <v>3478</v>
      </c>
      <c r="I15" s="36"/>
      <c r="J15" s="36"/>
      <c r="K15" s="94">
        <v>12950</v>
      </c>
    </row>
    <row r="16" spans="1:14" x14ac:dyDescent="0.25">
      <c r="A16" s="35">
        <v>44952</v>
      </c>
      <c r="B16" s="36" t="s">
        <v>3318</v>
      </c>
      <c r="C16" s="36">
        <v>8120158226</v>
      </c>
      <c r="D16" s="36" t="s">
        <v>3618</v>
      </c>
      <c r="E16" s="36">
        <v>3240</v>
      </c>
      <c r="F16" s="36" t="s">
        <v>3384</v>
      </c>
      <c r="G16" s="36" t="s">
        <v>3465</v>
      </c>
      <c r="H16" s="36" t="s">
        <v>3552</v>
      </c>
      <c r="I16" s="36" t="s">
        <v>3603</v>
      </c>
      <c r="J16" s="36" t="s">
        <v>3619</v>
      </c>
      <c r="K16" s="94">
        <v>21400</v>
      </c>
      <c r="L16" t="s">
        <v>3710</v>
      </c>
    </row>
    <row r="17" spans="1:12" x14ac:dyDescent="0.25">
      <c r="A17" s="96">
        <v>44952</v>
      </c>
      <c r="B17" s="9" t="s">
        <v>3400</v>
      </c>
      <c r="C17" s="9">
        <v>8132672071</v>
      </c>
      <c r="D17" s="9" t="s">
        <v>657</v>
      </c>
      <c r="E17" s="9">
        <v>2430</v>
      </c>
      <c r="F17" s="9"/>
      <c r="G17" s="9"/>
      <c r="H17" s="9"/>
      <c r="I17" s="9"/>
      <c r="J17" s="9"/>
      <c r="K17" s="97">
        <v>12150</v>
      </c>
      <c r="L17" s="9"/>
    </row>
    <row r="18" spans="1:12" x14ac:dyDescent="0.25">
      <c r="A18" s="35">
        <v>44952</v>
      </c>
      <c r="B18" s="36" t="s">
        <v>3382</v>
      </c>
      <c r="C18" s="36">
        <v>3111474415</v>
      </c>
      <c r="D18" s="36" t="s">
        <v>3319</v>
      </c>
      <c r="E18" s="36">
        <v>12000</v>
      </c>
      <c r="F18" s="36" t="s">
        <v>3383</v>
      </c>
      <c r="G18" s="36" t="s">
        <v>3474</v>
      </c>
      <c r="H18" s="36" t="s">
        <v>3538</v>
      </c>
      <c r="I18" s="36"/>
      <c r="J18" s="36"/>
      <c r="K18" s="94">
        <v>30000</v>
      </c>
    </row>
    <row r="19" spans="1:12" x14ac:dyDescent="0.25">
      <c r="A19" s="35">
        <v>44954</v>
      </c>
      <c r="B19" s="36" t="s">
        <v>3396</v>
      </c>
      <c r="C19" s="36">
        <v>2721281877</v>
      </c>
      <c r="D19" s="36" t="s">
        <v>3320</v>
      </c>
      <c r="E19" s="36">
        <v>2840</v>
      </c>
      <c r="F19" s="36" t="s">
        <v>3397</v>
      </c>
      <c r="G19" s="36" t="s">
        <v>3475</v>
      </c>
      <c r="H19" s="36" t="s">
        <v>3537</v>
      </c>
      <c r="I19" s="36"/>
      <c r="J19" s="36"/>
      <c r="K19" s="94">
        <v>14200</v>
      </c>
    </row>
    <row r="20" spans="1:12" x14ac:dyDescent="0.25">
      <c r="A20" s="35">
        <v>44954</v>
      </c>
      <c r="B20" s="36" t="s">
        <v>3322</v>
      </c>
      <c r="C20" s="36">
        <v>8111059239</v>
      </c>
      <c r="D20" s="36" t="s">
        <v>110</v>
      </c>
      <c r="E20" s="36">
        <v>1220</v>
      </c>
      <c r="F20" s="36" t="s">
        <v>3392</v>
      </c>
      <c r="G20" s="36" t="s">
        <v>3481</v>
      </c>
      <c r="H20" s="36" t="s">
        <v>3539</v>
      </c>
      <c r="I20" s="36" t="s">
        <v>3599</v>
      </c>
      <c r="J20" s="36"/>
      <c r="K20" s="94">
        <v>6100</v>
      </c>
    </row>
    <row r="21" spans="1:12" x14ac:dyDescent="0.25">
      <c r="A21" s="16"/>
    </row>
    <row r="22" spans="1:12" x14ac:dyDescent="0.25">
      <c r="C22">
        <v>1</v>
      </c>
      <c r="J22" s="36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18"/>
  <sheetViews>
    <sheetView zoomScaleNormal="100" workbookViewId="0">
      <selection activeCell="B13" sqref="B13"/>
    </sheetView>
  </sheetViews>
  <sheetFormatPr baseColWidth="10" defaultRowHeight="15" x14ac:dyDescent="0.25"/>
  <cols>
    <col min="1" max="1" width="12.28515625" customWidth="1"/>
    <col min="2" max="2" width="24.28515625" customWidth="1"/>
    <col min="3" max="3" width="14.5703125" customWidth="1"/>
    <col min="4" max="4" width="33.85546875" customWidth="1"/>
    <col min="5" max="5" width="14.140625" customWidth="1"/>
    <col min="6" max="6" width="13" customWidth="1"/>
    <col min="7" max="10" width="12" customWidth="1"/>
    <col min="11" max="11" width="15.85546875" customWidth="1"/>
  </cols>
  <sheetData>
    <row r="1" spans="1:14" x14ac:dyDescent="0.25">
      <c r="A1" t="s">
        <v>3173</v>
      </c>
      <c r="B1" t="s">
        <v>3174</v>
      </c>
      <c r="C1" t="s">
        <v>3399</v>
      </c>
      <c r="D1" t="s">
        <v>3330</v>
      </c>
      <c r="E1" t="s">
        <v>3176</v>
      </c>
      <c r="F1" t="s">
        <v>3226</v>
      </c>
      <c r="G1" t="s">
        <v>3178</v>
      </c>
      <c r="H1" t="s">
        <v>3228</v>
      </c>
      <c r="I1" t="s">
        <v>3229</v>
      </c>
      <c r="J1" t="s">
        <v>3542</v>
      </c>
      <c r="K1" t="s">
        <v>3756</v>
      </c>
      <c r="L1" t="s">
        <v>3803</v>
      </c>
      <c r="M1" t="s">
        <v>3181</v>
      </c>
      <c r="N1" t="s">
        <v>3317</v>
      </c>
    </row>
    <row r="2" spans="1:14" x14ac:dyDescent="0.25">
      <c r="A2" s="35">
        <v>44961</v>
      </c>
      <c r="B2" s="36" t="s">
        <v>3488</v>
      </c>
      <c r="C2" s="36">
        <v>8132665403</v>
      </c>
      <c r="D2" s="36" t="s">
        <v>3157</v>
      </c>
      <c r="E2" s="36">
        <v>2430</v>
      </c>
      <c r="F2" s="36" t="s">
        <v>3404</v>
      </c>
      <c r="G2" s="36" t="s">
        <v>3489</v>
      </c>
      <c r="H2" s="36" t="s">
        <v>3563</v>
      </c>
      <c r="I2" s="36" t="s">
        <v>3617</v>
      </c>
      <c r="J2" s="36"/>
      <c r="K2" s="36"/>
      <c r="L2" s="36"/>
      <c r="M2" s="94">
        <v>12150</v>
      </c>
      <c r="N2" s="94"/>
    </row>
    <row r="3" spans="1:14" x14ac:dyDescent="0.25">
      <c r="A3" s="35">
        <v>44961</v>
      </c>
      <c r="B3" s="36" t="s">
        <v>3331</v>
      </c>
      <c r="C3" s="36">
        <v>8115295657</v>
      </c>
      <c r="D3" s="36" t="s">
        <v>3332</v>
      </c>
      <c r="E3" s="36">
        <v>6000</v>
      </c>
      <c r="F3" s="36" t="s">
        <v>3405</v>
      </c>
      <c r="G3" s="36" t="s">
        <v>3561</v>
      </c>
      <c r="H3" s="36" t="s">
        <v>3564</v>
      </c>
      <c r="I3" s="36" t="s">
        <v>3620</v>
      </c>
      <c r="J3" s="36"/>
      <c r="K3" s="36"/>
      <c r="L3" s="36"/>
      <c r="M3" s="94">
        <v>30000</v>
      </c>
      <c r="N3" s="91"/>
    </row>
    <row r="4" spans="1:14" x14ac:dyDescent="0.25">
      <c r="A4" s="35">
        <v>44961</v>
      </c>
      <c r="B4" s="36" t="s">
        <v>3336</v>
      </c>
      <c r="C4" s="36">
        <v>8115188907</v>
      </c>
      <c r="D4" s="36" t="s">
        <v>3337</v>
      </c>
      <c r="E4" s="36">
        <v>4800</v>
      </c>
      <c r="F4" s="36" t="s">
        <v>3409</v>
      </c>
      <c r="G4" s="36" t="s">
        <v>3500</v>
      </c>
      <c r="H4" s="36" t="s">
        <v>3587</v>
      </c>
      <c r="I4" s="36" t="s">
        <v>3652</v>
      </c>
      <c r="J4" s="36"/>
      <c r="K4" s="36"/>
      <c r="L4" s="36"/>
      <c r="M4" s="94">
        <v>24000</v>
      </c>
      <c r="N4" s="94" t="s">
        <v>3701</v>
      </c>
    </row>
    <row r="5" spans="1:14" x14ac:dyDescent="0.25">
      <c r="A5" s="35">
        <v>44961</v>
      </c>
      <c r="B5" s="36" t="s">
        <v>3338</v>
      </c>
      <c r="C5" s="36">
        <v>8115857246</v>
      </c>
      <c r="D5" s="36" t="s">
        <v>3157</v>
      </c>
      <c r="E5" s="36">
        <v>2430</v>
      </c>
      <c r="F5" s="36" t="s">
        <v>3404</v>
      </c>
      <c r="G5" s="36" t="s">
        <v>3524</v>
      </c>
      <c r="H5" s="36" t="s">
        <v>3616</v>
      </c>
      <c r="I5" s="36" t="s">
        <v>3617</v>
      </c>
      <c r="J5" s="36"/>
      <c r="K5" s="36"/>
      <c r="L5" s="36"/>
      <c r="M5" s="94">
        <v>12650</v>
      </c>
      <c r="N5" s="94"/>
    </row>
    <row r="6" spans="1:14" x14ac:dyDescent="0.25">
      <c r="A6" s="35">
        <v>44968</v>
      </c>
      <c r="B6" s="36" t="s">
        <v>3343</v>
      </c>
      <c r="C6" s="36">
        <v>8116069655</v>
      </c>
      <c r="D6" s="36" t="s">
        <v>3344</v>
      </c>
      <c r="E6" s="36">
        <v>6200</v>
      </c>
      <c r="F6" s="36" t="s">
        <v>3426</v>
      </c>
      <c r="G6" s="36" t="s">
        <v>3498</v>
      </c>
      <c r="H6" s="36" t="s">
        <v>3639</v>
      </c>
      <c r="I6" s="36" t="s">
        <v>3640</v>
      </c>
      <c r="J6" s="36"/>
      <c r="K6" s="36"/>
      <c r="L6" s="36"/>
      <c r="M6" s="94">
        <v>26500</v>
      </c>
      <c r="N6" s="94"/>
    </row>
    <row r="7" spans="1:14" x14ac:dyDescent="0.25">
      <c r="A7" s="35">
        <v>44968</v>
      </c>
      <c r="B7" s="36" t="s">
        <v>3346</v>
      </c>
      <c r="C7" s="36">
        <v>8184698311</v>
      </c>
      <c r="D7" s="36" t="s">
        <v>3347</v>
      </c>
      <c r="E7" s="36">
        <v>9600</v>
      </c>
      <c r="F7" s="36" t="s">
        <v>3453</v>
      </c>
      <c r="G7" s="36" t="s">
        <v>3671</v>
      </c>
      <c r="H7" s="36"/>
      <c r="I7" s="36"/>
      <c r="J7" s="36"/>
      <c r="K7" s="36"/>
      <c r="L7" s="36"/>
      <c r="M7" s="94">
        <v>25800</v>
      </c>
      <c r="N7" s="91"/>
    </row>
    <row r="8" spans="1:14" x14ac:dyDescent="0.25">
      <c r="A8" s="35">
        <v>44968</v>
      </c>
      <c r="B8" s="36" t="s">
        <v>3351</v>
      </c>
      <c r="C8" s="36">
        <v>8110020204</v>
      </c>
      <c r="D8" s="36" t="s">
        <v>3596</v>
      </c>
      <c r="E8" s="36">
        <v>2430</v>
      </c>
      <c r="F8" s="36" t="s">
        <v>3418</v>
      </c>
      <c r="G8" s="36" t="s">
        <v>3497</v>
      </c>
      <c r="H8" s="36" t="s">
        <v>3576</v>
      </c>
      <c r="I8" s="36" t="s">
        <v>3643</v>
      </c>
      <c r="J8" s="36" t="s">
        <v>3692</v>
      </c>
      <c r="K8" s="36" t="s">
        <v>3757</v>
      </c>
      <c r="L8" s="36" t="s">
        <v>3804</v>
      </c>
      <c r="M8" s="94">
        <v>30456</v>
      </c>
      <c r="N8" s="94"/>
    </row>
    <row r="9" spans="1:14" x14ac:dyDescent="0.25">
      <c r="A9" s="35">
        <v>44970</v>
      </c>
      <c r="B9" s="36" t="s">
        <v>3352</v>
      </c>
      <c r="C9" s="36">
        <v>2292131692</v>
      </c>
      <c r="D9" s="36" t="s">
        <v>3353</v>
      </c>
      <c r="E9" s="36">
        <v>2770</v>
      </c>
      <c r="F9" s="36" t="s">
        <v>3431</v>
      </c>
      <c r="G9" s="36" t="s">
        <v>3505</v>
      </c>
      <c r="H9" s="36" t="s">
        <v>3575</v>
      </c>
      <c r="I9" s="36" t="s">
        <v>3609</v>
      </c>
      <c r="J9" s="36"/>
      <c r="K9" s="36"/>
      <c r="L9" s="36"/>
      <c r="M9" s="94">
        <v>13850</v>
      </c>
      <c r="N9" s="94"/>
    </row>
    <row r="10" spans="1:14" x14ac:dyDescent="0.25">
      <c r="A10" s="35">
        <v>44970</v>
      </c>
      <c r="B10" s="36" t="s">
        <v>3354</v>
      </c>
      <c r="C10" s="36">
        <v>8119837462</v>
      </c>
      <c r="D10" s="36" t="s">
        <v>3355</v>
      </c>
      <c r="E10" s="36">
        <v>2500</v>
      </c>
      <c r="F10" s="36" t="s">
        <v>3432</v>
      </c>
      <c r="G10" s="36" t="s">
        <v>3506</v>
      </c>
      <c r="H10" s="36" t="s">
        <v>3574</v>
      </c>
      <c r="I10" s="36" t="s">
        <v>3610</v>
      </c>
      <c r="J10" s="36"/>
      <c r="K10" s="36"/>
      <c r="L10" s="36"/>
      <c r="M10" s="94">
        <v>12500</v>
      </c>
      <c r="N10" s="94"/>
    </row>
    <row r="11" spans="1:14" s="36" customFormat="1" x14ac:dyDescent="0.25">
      <c r="A11" s="35">
        <v>44973</v>
      </c>
      <c r="B11" s="36" t="s">
        <v>3375</v>
      </c>
      <c r="C11" s="36">
        <v>8186032288</v>
      </c>
      <c r="D11" s="36" t="s">
        <v>3683</v>
      </c>
      <c r="E11" s="36">
        <v>3600</v>
      </c>
      <c r="F11" s="36" t="s">
        <v>3433</v>
      </c>
      <c r="G11" s="36" t="s">
        <v>3681</v>
      </c>
      <c r="H11" s="36" t="s">
        <v>3682</v>
      </c>
      <c r="I11" s="36" t="s">
        <v>3696</v>
      </c>
      <c r="J11" s="36" t="s">
        <v>3743</v>
      </c>
      <c r="M11" s="94">
        <v>18800</v>
      </c>
      <c r="N11" s="94" t="s">
        <v>3434</v>
      </c>
    </row>
    <row r="12" spans="1:14" x14ac:dyDescent="0.25">
      <c r="A12" s="35">
        <v>44978</v>
      </c>
      <c r="B12" s="36" t="s">
        <v>3373</v>
      </c>
      <c r="C12" s="36">
        <v>8135118828</v>
      </c>
      <c r="D12" s="36" t="s">
        <v>3544</v>
      </c>
      <c r="E12" s="36">
        <v>3400</v>
      </c>
      <c r="F12" s="48" t="s">
        <v>3441</v>
      </c>
      <c r="G12" s="36" t="s">
        <v>3503</v>
      </c>
      <c r="H12" s="36" t="s">
        <v>3519</v>
      </c>
      <c r="I12" s="36" t="s">
        <v>3545</v>
      </c>
      <c r="J12" s="36" t="s">
        <v>3627</v>
      </c>
      <c r="K12" s="36"/>
      <c r="L12" s="36"/>
      <c r="M12" s="94">
        <v>17800</v>
      </c>
      <c r="N12" s="94"/>
    </row>
    <row r="13" spans="1:14" x14ac:dyDescent="0.25">
      <c r="A13" s="35">
        <v>44982</v>
      </c>
      <c r="B13" s="36" t="s">
        <v>3385</v>
      </c>
      <c r="C13" s="36">
        <v>8117848107</v>
      </c>
      <c r="D13" s="36" t="s">
        <v>3740</v>
      </c>
      <c r="E13" s="36">
        <v>3580</v>
      </c>
      <c r="F13" s="36" t="s">
        <v>3502</v>
      </c>
      <c r="G13" s="35" t="s">
        <v>3567</v>
      </c>
      <c r="H13" s="36" t="s">
        <v>3614</v>
      </c>
      <c r="I13" s="36" t="s">
        <v>3746</v>
      </c>
      <c r="J13" s="36" t="s">
        <v>3835</v>
      </c>
      <c r="K13" s="36"/>
      <c r="L13" s="36"/>
      <c r="M13" s="94">
        <v>28200</v>
      </c>
      <c r="N13" s="36"/>
    </row>
    <row r="18" spans="5:5" x14ac:dyDescent="0.25">
      <c r="E18">
        <v>3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82"/>
  <sheetViews>
    <sheetView topLeftCell="A7" zoomScale="110" zoomScaleNormal="110" workbookViewId="0">
      <selection activeCell="L12" sqref="L12"/>
    </sheetView>
  </sheetViews>
  <sheetFormatPr baseColWidth="10" defaultRowHeight="15" x14ac:dyDescent="0.25"/>
  <cols>
    <col min="1" max="1" width="12" customWidth="1"/>
    <col min="2" max="2" width="24" customWidth="1"/>
    <col min="3" max="3" width="12" customWidth="1"/>
    <col min="4" max="4" width="41.5703125" customWidth="1"/>
    <col min="5" max="6" width="12" customWidth="1"/>
    <col min="7" max="7" width="12.7109375" customWidth="1"/>
    <col min="8" max="9" width="12" customWidth="1"/>
    <col min="10" max="10" width="13" customWidth="1"/>
  </cols>
  <sheetData>
    <row r="1" spans="1:12" x14ac:dyDescent="0.25">
      <c r="A1" t="s">
        <v>3847</v>
      </c>
      <c r="B1" t="s">
        <v>3174</v>
      </c>
      <c r="C1" t="s">
        <v>3399</v>
      </c>
      <c r="D1" t="s">
        <v>3175</v>
      </c>
      <c r="E1" s="91" t="s">
        <v>3176</v>
      </c>
      <c r="F1" t="s">
        <v>3226</v>
      </c>
      <c r="G1" t="s">
        <v>3227</v>
      </c>
      <c r="H1" t="s">
        <v>3228</v>
      </c>
      <c r="I1" t="s">
        <v>3229</v>
      </c>
      <c r="J1" t="s">
        <v>3542</v>
      </c>
      <c r="K1" s="91" t="s">
        <v>3181</v>
      </c>
      <c r="L1" t="s">
        <v>3317</v>
      </c>
    </row>
    <row r="2" spans="1:12" x14ac:dyDescent="0.25">
      <c r="A2" s="35">
        <v>44988</v>
      </c>
      <c r="B2" s="36" t="s">
        <v>3407</v>
      </c>
      <c r="C2" s="36">
        <v>8128586601</v>
      </c>
      <c r="D2" s="36" t="s">
        <v>3593</v>
      </c>
      <c r="E2" s="94">
        <v>5000</v>
      </c>
      <c r="F2" s="36" t="s">
        <v>3535</v>
      </c>
      <c r="G2" s="36" t="s">
        <v>3594</v>
      </c>
      <c r="H2" s="36" t="s">
        <v>3653</v>
      </c>
      <c r="I2" s="36"/>
      <c r="J2" s="36"/>
      <c r="K2" s="94">
        <v>14600</v>
      </c>
    </row>
    <row r="3" spans="1:12" x14ac:dyDescent="0.25">
      <c r="A3" s="35">
        <v>44989</v>
      </c>
      <c r="B3" s="36" t="s">
        <v>3408</v>
      </c>
      <c r="C3" s="36">
        <v>8131079669</v>
      </c>
      <c r="D3" s="36" t="s">
        <v>3472</v>
      </c>
      <c r="E3" s="94">
        <v>10000</v>
      </c>
      <c r="F3" s="36" t="s">
        <v>3473</v>
      </c>
      <c r="G3" s="36" t="s">
        <v>3485</v>
      </c>
      <c r="H3" s="36"/>
      <c r="I3" s="36"/>
      <c r="J3" s="36"/>
      <c r="K3" s="94">
        <v>18500</v>
      </c>
    </row>
    <row r="4" spans="1:12" s="36" customFormat="1" x14ac:dyDescent="0.25">
      <c r="A4" s="35">
        <v>44989</v>
      </c>
      <c r="B4" s="36" t="s">
        <v>3410</v>
      </c>
      <c r="C4" s="36">
        <v>8116932858</v>
      </c>
      <c r="D4" s="36" t="s">
        <v>3411</v>
      </c>
      <c r="E4" s="94">
        <v>3380</v>
      </c>
      <c r="F4" s="36" t="s">
        <v>3526</v>
      </c>
      <c r="G4" s="36" t="s">
        <v>3630</v>
      </c>
      <c r="H4" s="36" t="s">
        <v>3789</v>
      </c>
      <c r="K4" s="94">
        <v>18700</v>
      </c>
    </row>
    <row r="5" spans="1:12" x14ac:dyDescent="0.25">
      <c r="A5" s="35">
        <v>44995</v>
      </c>
      <c r="B5" s="36" t="s">
        <v>3419</v>
      </c>
      <c r="C5" s="36">
        <v>8115148858</v>
      </c>
      <c r="D5" s="36" t="s">
        <v>10</v>
      </c>
      <c r="E5" s="94">
        <v>1140</v>
      </c>
      <c r="F5" s="36" t="s">
        <v>3490</v>
      </c>
      <c r="G5" s="36" t="s">
        <v>3571</v>
      </c>
      <c r="H5" s="36" t="s">
        <v>3638</v>
      </c>
      <c r="I5" s="36" t="s">
        <v>3693</v>
      </c>
      <c r="J5" s="36" t="s">
        <v>3818</v>
      </c>
      <c r="K5" s="94">
        <v>5700</v>
      </c>
      <c r="L5" s="36"/>
    </row>
    <row r="6" spans="1:12" x14ac:dyDescent="0.25">
      <c r="A6" s="35">
        <v>44995</v>
      </c>
      <c r="B6" s="36" t="s">
        <v>3420</v>
      </c>
      <c r="C6" s="36">
        <v>8132427116</v>
      </c>
      <c r="D6" s="36" t="s">
        <v>3421</v>
      </c>
      <c r="E6" s="94">
        <v>6800</v>
      </c>
      <c r="F6" s="36" t="s">
        <v>3527</v>
      </c>
      <c r="G6" s="36" t="s">
        <v>3548</v>
      </c>
      <c r="H6" s="36"/>
      <c r="I6" s="36"/>
      <c r="J6" s="36"/>
      <c r="K6" s="94">
        <v>16300</v>
      </c>
    </row>
    <row r="7" spans="1:12" x14ac:dyDescent="0.25">
      <c r="A7" s="35">
        <v>44996</v>
      </c>
      <c r="B7" s="36" t="s">
        <v>3422</v>
      </c>
      <c r="C7" s="36">
        <v>8116612977</v>
      </c>
      <c r="D7" s="36" t="s">
        <v>3423</v>
      </c>
      <c r="E7" s="94">
        <v>3760</v>
      </c>
      <c r="F7" s="36" t="s">
        <v>3491</v>
      </c>
      <c r="G7" s="36" t="s">
        <v>3562</v>
      </c>
      <c r="H7" s="48" t="s">
        <v>3654</v>
      </c>
      <c r="I7" s="36" t="s">
        <v>3698</v>
      </c>
      <c r="J7" s="36"/>
      <c r="K7" s="94">
        <v>18800</v>
      </c>
      <c r="L7" s="36"/>
    </row>
    <row r="8" spans="1:12" x14ac:dyDescent="0.25">
      <c r="A8" s="35">
        <v>44996</v>
      </c>
      <c r="B8" s="36" t="s">
        <v>3424</v>
      </c>
      <c r="C8" s="36">
        <v>8126607544</v>
      </c>
      <c r="D8" s="36" t="s">
        <v>3425</v>
      </c>
      <c r="E8" s="94">
        <v>3760</v>
      </c>
      <c r="F8" s="36" t="s">
        <v>3510</v>
      </c>
      <c r="G8" s="36" t="s">
        <v>3577</v>
      </c>
      <c r="H8" s="36" t="s">
        <v>3655</v>
      </c>
      <c r="I8" s="36" t="s">
        <v>3711</v>
      </c>
      <c r="J8" s="36"/>
      <c r="K8" s="94">
        <v>18800</v>
      </c>
      <c r="L8" s="36"/>
    </row>
    <row r="9" spans="1:12" x14ac:dyDescent="0.25">
      <c r="A9" s="35">
        <v>44996</v>
      </c>
      <c r="B9" s="36" t="s">
        <v>3427</v>
      </c>
      <c r="C9" s="36"/>
      <c r="D9" s="36" t="s">
        <v>3428</v>
      </c>
      <c r="E9" s="94">
        <v>23300</v>
      </c>
      <c r="F9" s="36"/>
      <c r="G9" s="36"/>
      <c r="H9" s="36"/>
      <c r="I9" s="36"/>
      <c r="J9" s="36"/>
      <c r="K9" s="94">
        <v>23300</v>
      </c>
    </row>
    <row r="10" spans="1:12" x14ac:dyDescent="0.25">
      <c r="A10" s="35">
        <v>44996</v>
      </c>
      <c r="B10" s="36" t="s">
        <v>3486</v>
      </c>
      <c r="C10" s="36">
        <v>8112737851</v>
      </c>
      <c r="D10" s="36" t="s">
        <v>3429</v>
      </c>
      <c r="E10" s="94">
        <v>3000</v>
      </c>
      <c r="F10" s="36" t="s">
        <v>3487</v>
      </c>
      <c r="G10" s="36" t="s">
        <v>3573</v>
      </c>
      <c r="H10" s="36" t="s">
        <v>1580</v>
      </c>
      <c r="I10" s="36" t="s">
        <v>3691</v>
      </c>
      <c r="J10" s="36"/>
      <c r="K10" s="94">
        <v>14050</v>
      </c>
      <c r="L10" s="36"/>
    </row>
    <row r="11" spans="1:12" x14ac:dyDescent="0.25">
      <c r="A11" s="35">
        <v>44999</v>
      </c>
      <c r="B11" s="36" t="s">
        <v>3586</v>
      </c>
      <c r="C11" s="36">
        <v>8130578092</v>
      </c>
      <c r="D11" s="36" t="s">
        <v>3435</v>
      </c>
      <c r="E11" s="94">
        <v>4600</v>
      </c>
      <c r="F11" s="36" t="s">
        <v>3513</v>
      </c>
      <c r="G11" s="36" t="s">
        <v>3570</v>
      </c>
      <c r="H11" s="36" t="s">
        <v>3656</v>
      </c>
      <c r="I11" s="36" t="s">
        <v>3712</v>
      </c>
      <c r="J11" s="36"/>
      <c r="K11" s="94">
        <v>24500</v>
      </c>
      <c r="L11" s="36"/>
    </row>
    <row r="12" spans="1:12" x14ac:dyDescent="0.25">
      <c r="A12" s="35">
        <v>44999</v>
      </c>
      <c r="B12" s="36" t="s">
        <v>3437</v>
      </c>
      <c r="C12" s="36">
        <v>8119087135</v>
      </c>
      <c r="D12" s="36" t="s">
        <v>3438</v>
      </c>
      <c r="E12" s="94">
        <v>7000</v>
      </c>
      <c r="F12" s="36" t="s">
        <v>3507</v>
      </c>
      <c r="G12" s="36" t="s">
        <v>3660</v>
      </c>
      <c r="H12" s="36"/>
      <c r="I12" s="36"/>
      <c r="J12" s="36"/>
      <c r="K12" s="94">
        <v>15800</v>
      </c>
      <c r="L12" s="36"/>
    </row>
    <row r="13" spans="1:12" x14ac:dyDescent="0.25">
      <c r="A13" s="35">
        <v>45002</v>
      </c>
      <c r="B13" s="36" t="s">
        <v>3443</v>
      </c>
      <c r="C13" s="36">
        <v>8115193539</v>
      </c>
      <c r="D13" s="36" t="s">
        <v>3444</v>
      </c>
      <c r="E13" s="94">
        <v>3460</v>
      </c>
      <c r="F13" s="36" t="s">
        <v>3511</v>
      </c>
      <c r="G13" s="36" t="s">
        <v>3588</v>
      </c>
      <c r="H13" s="36" t="s">
        <v>3620</v>
      </c>
      <c r="I13" s="36" t="s">
        <v>3621</v>
      </c>
      <c r="J13" s="36"/>
      <c r="K13" s="94">
        <v>17300</v>
      </c>
      <c r="L13" s="36"/>
    </row>
    <row r="14" spans="1:12" x14ac:dyDescent="0.25">
      <c r="A14" s="35">
        <v>45003</v>
      </c>
      <c r="B14" s="36" t="s">
        <v>3450</v>
      </c>
      <c r="C14" s="36">
        <v>8129018137</v>
      </c>
      <c r="D14" s="36" t="s">
        <v>3449</v>
      </c>
      <c r="E14" s="94">
        <v>3780</v>
      </c>
      <c r="F14" s="36" t="s">
        <v>3554</v>
      </c>
      <c r="G14" s="36" t="s">
        <v>3585</v>
      </c>
      <c r="H14" s="36" t="s">
        <v>3657</v>
      </c>
      <c r="I14" s="36" t="s">
        <v>3719</v>
      </c>
      <c r="J14" s="36"/>
      <c r="K14" s="94">
        <v>18900</v>
      </c>
      <c r="L14" s="36"/>
    </row>
    <row r="15" spans="1:12" x14ac:dyDescent="0.25">
      <c r="A15" s="35">
        <v>45003</v>
      </c>
      <c r="B15" s="36" t="s">
        <v>3451</v>
      </c>
      <c r="C15" s="36">
        <v>8113711777</v>
      </c>
      <c r="D15" s="36" t="s">
        <v>3590</v>
      </c>
      <c r="E15" s="94">
        <v>3420</v>
      </c>
      <c r="F15" s="36" t="s">
        <v>3521</v>
      </c>
      <c r="G15" s="36" t="s">
        <v>3584</v>
      </c>
      <c r="H15" s="36" t="s">
        <v>3589</v>
      </c>
      <c r="I15" s="36" t="s">
        <v>3658</v>
      </c>
      <c r="J15" s="36"/>
      <c r="K15" s="94">
        <v>17100</v>
      </c>
    </row>
    <row r="16" spans="1:12" x14ac:dyDescent="0.25">
      <c r="A16" s="35">
        <v>45003</v>
      </c>
      <c r="B16" s="36" t="s">
        <v>3452</v>
      </c>
      <c r="C16" s="36">
        <v>8126373774</v>
      </c>
      <c r="D16" s="36" t="s">
        <v>3555</v>
      </c>
      <c r="E16" s="94">
        <v>6600</v>
      </c>
      <c r="F16" s="36" t="s">
        <v>3512</v>
      </c>
      <c r="G16" s="36" t="s">
        <v>2581</v>
      </c>
      <c r="H16" s="36" t="s">
        <v>3556</v>
      </c>
      <c r="I16" s="36"/>
      <c r="J16" s="36"/>
      <c r="K16" s="94">
        <v>17000</v>
      </c>
    </row>
    <row r="17" spans="1:12" x14ac:dyDescent="0.25">
      <c r="A17" s="35">
        <v>45007</v>
      </c>
      <c r="B17" s="36" t="s">
        <v>3462</v>
      </c>
      <c r="C17" s="36">
        <v>8180862992</v>
      </c>
      <c r="D17" s="36" t="s">
        <v>3463</v>
      </c>
      <c r="E17" s="94">
        <v>2290</v>
      </c>
      <c r="F17" s="36" t="s">
        <v>3525</v>
      </c>
      <c r="G17" s="36" t="s">
        <v>3600</v>
      </c>
      <c r="H17" s="36" t="s">
        <v>3626</v>
      </c>
      <c r="I17" s="36" t="s">
        <v>3689</v>
      </c>
      <c r="J17" s="36" t="s">
        <v>3745</v>
      </c>
      <c r="K17" s="94">
        <v>11450</v>
      </c>
      <c r="L17" s="36"/>
    </row>
    <row r="18" spans="1:12" x14ac:dyDescent="0.25">
      <c r="A18" s="35">
        <v>45012</v>
      </c>
      <c r="B18" s="36" t="s">
        <v>3476</v>
      </c>
      <c r="C18" s="36">
        <v>8132646419</v>
      </c>
      <c r="D18" s="36" t="s">
        <v>1150</v>
      </c>
      <c r="E18" s="94">
        <v>3500</v>
      </c>
      <c r="F18" s="36" t="s">
        <v>3536</v>
      </c>
      <c r="G18" s="36" t="s">
        <v>3598</v>
      </c>
      <c r="H18" s="36" t="s">
        <v>3670</v>
      </c>
      <c r="I18" s="36"/>
      <c r="J18" s="36"/>
      <c r="K18" s="94">
        <v>17100</v>
      </c>
    </row>
    <row r="19" spans="1:12" x14ac:dyDescent="0.25">
      <c r="A19" s="35">
        <v>45013</v>
      </c>
      <c r="B19" s="36" t="s">
        <v>3479</v>
      </c>
      <c r="C19" s="36">
        <v>8115182645</v>
      </c>
      <c r="D19" s="36" t="s">
        <v>3480</v>
      </c>
      <c r="E19" s="94">
        <v>8100</v>
      </c>
      <c r="F19" s="36" t="s">
        <v>3530</v>
      </c>
      <c r="G19" s="36" t="s">
        <v>3531</v>
      </c>
      <c r="H19" s="36"/>
      <c r="I19" s="36"/>
      <c r="J19" s="36"/>
      <c r="K19" s="94">
        <v>9000</v>
      </c>
    </row>
    <row r="82" spans="2:3" x14ac:dyDescent="0.25">
      <c r="B82">
        <f t="array" ref="B82:C82">------------------------------------------C63:D63</f>
        <v>0</v>
      </c>
      <c r="C82">
        <v>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65B4-6A4B-4E5D-957B-FD55A347532D}">
  <dimension ref="A1:K10"/>
  <sheetViews>
    <sheetView zoomScaleNormal="100" workbookViewId="0">
      <selection activeCell="D7" sqref="D7"/>
    </sheetView>
  </sheetViews>
  <sheetFormatPr baseColWidth="10" defaultRowHeight="15" x14ac:dyDescent="0.25"/>
  <cols>
    <col min="1" max="1" width="12" customWidth="1"/>
    <col min="2" max="2" width="20.140625" customWidth="1"/>
    <col min="3" max="3" width="19" customWidth="1"/>
    <col min="4" max="4" width="45.42578125" customWidth="1"/>
    <col min="5" max="6" width="12" customWidth="1"/>
    <col min="7" max="7" width="16.7109375" customWidth="1"/>
    <col min="8" max="9" width="12" customWidth="1"/>
    <col min="10" max="10" width="13" customWidth="1"/>
  </cols>
  <sheetData>
    <row r="1" spans="1:11" x14ac:dyDescent="0.25">
      <c r="A1" t="s">
        <v>3173</v>
      </c>
      <c r="B1" t="s">
        <v>3174</v>
      </c>
      <c r="C1" t="s">
        <v>3493</v>
      </c>
      <c r="D1" t="s">
        <v>3492</v>
      </c>
      <c r="E1" t="s">
        <v>3225</v>
      </c>
      <c r="F1" t="s">
        <v>3226</v>
      </c>
      <c r="G1" t="s">
        <v>3672</v>
      </c>
      <c r="H1" t="s">
        <v>3227</v>
      </c>
      <c r="I1" t="s">
        <v>3228</v>
      </c>
      <c r="J1" t="s">
        <v>3229</v>
      </c>
      <c r="K1" t="s">
        <v>3181</v>
      </c>
    </row>
    <row r="2" spans="1:11" x14ac:dyDescent="0.25">
      <c r="A2" s="35">
        <v>45026</v>
      </c>
      <c r="B2" s="36" t="s">
        <v>3494</v>
      </c>
      <c r="C2" s="36">
        <v>8119101011</v>
      </c>
      <c r="D2" s="36" t="s">
        <v>3703</v>
      </c>
      <c r="E2" s="94">
        <v>3000</v>
      </c>
      <c r="F2" s="36" t="s">
        <v>3572</v>
      </c>
      <c r="G2" s="36" t="s">
        <v>3583</v>
      </c>
      <c r="H2" s="36" t="s">
        <v>3649</v>
      </c>
      <c r="I2" s="36" t="s">
        <v>3704</v>
      </c>
      <c r="J2" s="36" t="s">
        <v>3750</v>
      </c>
      <c r="K2" s="94">
        <v>19600</v>
      </c>
    </row>
    <row r="3" spans="1:11" x14ac:dyDescent="0.25">
      <c r="A3" s="35">
        <v>45026</v>
      </c>
      <c r="B3" s="36" t="s">
        <v>3495</v>
      </c>
      <c r="C3" s="36">
        <v>8116828137</v>
      </c>
      <c r="D3" s="36" t="s">
        <v>3496</v>
      </c>
      <c r="E3" s="94">
        <v>11240</v>
      </c>
      <c r="F3" s="36" t="s">
        <v>3581</v>
      </c>
      <c r="G3" s="36" t="s">
        <v>3644</v>
      </c>
      <c r="H3" s="36"/>
      <c r="I3" s="36"/>
      <c r="J3" s="36"/>
      <c r="K3" s="94">
        <v>28100</v>
      </c>
    </row>
    <row r="4" spans="1:11" x14ac:dyDescent="0.25">
      <c r="A4" s="35">
        <v>45033</v>
      </c>
      <c r="B4" s="36" t="s">
        <v>3520</v>
      </c>
      <c r="C4" s="36">
        <v>8333197967</v>
      </c>
      <c r="D4" s="36" t="s">
        <v>3724</v>
      </c>
      <c r="E4" s="94">
        <v>1620</v>
      </c>
      <c r="F4" s="36" t="s">
        <v>3582</v>
      </c>
      <c r="G4" s="36" t="s">
        <v>3659</v>
      </c>
      <c r="H4" s="36" t="s">
        <v>3725</v>
      </c>
      <c r="I4" s="36" t="s">
        <v>3727</v>
      </c>
      <c r="J4" s="36"/>
      <c r="K4" s="94">
        <v>10600</v>
      </c>
    </row>
    <row r="5" spans="1:11" x14ac:dyDescent="0.25">
      <c r="A5" s="35">
        <v>45038</v>
      </c>
      <c r="B5" s="36" t="s">
        <v>3528</v>
      </c>
      <c r="C5" s="36">
        <v>8120686610</v>
      </c>
      <c r="D5" s="36" t="s">
        <v>3708</v>
      </c>
      <c r="E5" s="94">
        <v>6480</v>
      </c>
      <c r="F5" s="36" t="s">
        <v>3595</v>
      </c>
      <c r="G5" s="36" t="s">
        <v>3662</v>
      </c>
      <c r="H5" s="36" t="s">
        <v>3706</v>
      </c>
      <c r="I5" s="36" t="s">
        <v>3707</v>
      </c>
      <c r="J5" s="36"/>
      <c r="K5" s="94">
        <v>17800</v>
      </c>
    </row>
    <row r="6" spans="1:11" x14ac:dyDescent="0.25">
      <c r="A6" s="35">
        <v>45040</v>
      </c>
      <c r="B6" s="36" t="s">
        <v>3532</v>
      </c>
      <c r="C6" s="36">
        <v>8115893263</v>
      </c>
      <c r="D6" s="36" t="s">
        <v>3533</v>
      </c>
      <c r="E6" s="94">
        <v>6000</v>
      </c>
      <c r="F6" s="36" t="s">
        <v>3611</v>
      </c>
      <c r="G6" s="36" t="s">
        <v>3679</v>
      </c>
      <c r="H6" s="36" t="s">
        <v>3736</v>
      </c>
      <c r="I6" s="36" t="s">
        <v>3778</v>
      </c>
      <c r="J6" s="36"/>
      <c r="K6" s="94">
        <v>30000</v>
      </c>
    </row>
    <row r="7" spans="1:11" x14ac:dyDescent="0.25">
      <c r="A7" s="35">
        <v>45042</v>
      </c>
      <c r="B7" s="36" t="s">
        <v>3540</v>
      </c>
      <c r="C7" s="36">
        <v>8261131360</v>
      </c>
      <c r="D7" s="36" t="s">
        <v>3541</v>
      </c>
      <c r="E7" s="94">
        <v>5700</v>
      </c>
      <c r="F7" s="36" t="s">
        <v>3664</v>
      </c>
      <c r="G7" s="36" t="s">
        <v>3673</v>
      </c>
      <c r="H7" s="36" t="s">
        <v>3661</v>
      </c>
      <c r="I7" s="36"/>
      <c r="J7" s="36"/>
      <c r="K7" s="94">
        <v>26500</v>
      </c>
    </row>
    <row r="8" spans="1:11" x14ac:dyDescent="0.25">
      <c r="A8" s="35">
        <v>45044</v>
      </c>
      <c r="B8" s="36" t="s">
        <v>3546</v>
      </c>
      <c r="C8" s="36">
        <v>8117911703</v>
      </c>
      <c r="D8" s="36" t="s">
        <v>3547</v>
      </c>
      <c r="E8" s="94">
        <v>5300</v>
      </c>
      <c r="F8" s="36" t="s">
        <v>3602</v>
      </c>
      <c r="G8" s="36" t="s">
        <v>3663</v>
      </c>
      <c r="H8" s="36" t="s">
        <v>3732</v>
      </c>
      <c r="I8" s="36" t="s">
        <v>3773</v>
      </c>
      <c r="J8" s="36"/>
      <c r="K8" s="94">
        <v>26500</v>
      </c>
    </row>
    <row r="9" spans="1:11" x14ac:dyDescent="0.25">
      <c r="A9" s="35">
        <v>45045</v>
      </c>
      <c r="B9" s="36" t="s">
        <v>3549</v>
      </c>
      <c r="C9" s="36">
        <v>8111728769</v>
      </c>
      <c r="D9" s="36" t="s">
        <v>3898</v>
      </c>
      <c r="E9" s="94">
        <v>2520</v>
      </c>
      <c r="F9" s="36" t="s">
        <v>3604</v>
      </c>
      <c r="G9" s="36" t="s">
        <v>3665</v>
      </c>
      <c r="H9" s="36" t="s">
        <v>3730</v>
      </c>
      <c r="I9" s="36" t="s">
        <v>3776</v>
      </c>
      <c r="J9" s="36"/>
      <c r="K9" s="94">
        <v>15600</v>
      </c>
    </row>
    <row r="10" spans="1:11" x14ac:dyDescent="0.25">
      <c r="A10" s="35">
        <v>45045</v>
      </c>
      <c r="B10" s="36" t="s">
        <v>3550</v>
      </c>
      <c r="C10" s="36">
        <v>8117286878</v>
      </c>
      <c r="D10" s="36" t="s">
        <v>3551</v>
      </c>
      <c r="E10" s="94">
        <v>2700</v>
      </c>
      <c r="F10" s="36" t="s">
        <v>3606</v>
      </c>
      <c r="G10" s="36" t="s">
        <v>3666</v>
      </c>
      <c r="H10" s="36" t="s">
        <v>3734</v>
      </c>
      <c r="I10" s="36" t="s">
        <v>3774</v>
      </c>
      <c r="J10" s="36"/>
      <c r="K10" s="94">
        <v>13500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98C5-8202-4940-8ACB-B0233149CB47}">
  <dimension ref="A1:L12"/>
  <sheetViews>
    <sheetView zoomScale="110" zoomScaleNormal="110" workbookViewId="0">
      <selection activeCell="I3" sqref="I3"/>
    </sheetView>
  </sheetViews>
  <sheetFormatPr baseColWidth="10" defaultRowHeight="15" x14ac:dyDescent="0.25"/>
  <cols>
    <col min="1" max="1" width="12" customWidth="1"/>
    <col min="2" max="2" width="20.140625" customWidth="1"/>
    <col min="3" max="3" width="12" customWidth="1"/>
    <col min="4" max="4" width="34.85546875" customWidth="1"/>
    <col min="5" max="8" width="12" customWidth="1"/>
    <col min="9" max="9" width="14" customWidth="1"/>
    <col min="10" max="10" width="13" customWidth="1"/>
    <col min="11" max="11" width="11.42578125" style="91"/>
  </cols>
  <sheetData>
    <row r="1" spans="1:12" x14ac:dyDescent="0.25">
      <c r="A1" s="105" t="s">
        <v>3173</v>
      </c>
      <c r="B1" t="s">
        <v>3174</v>
      </c>
      <c r="C1" t="s">
        <v>3553</v>
      </c>
      <c r="D1" t="s">
        <v>3492</v>
      </c>
      <c r="E1" s="91" t="s">
        <v>3225</v>
      </c>
      <c r="F1" t="s">
        <v>3226</v>
      </c>
      <c r="G1" t="s">
        <v>3227</v>
      </c>
      <c r="H1" t="s">
        <v>3228</v>
      </c>
      <c r="I1" t="s">
        <v>3229</v>
      </c>
      <c r="J1" t="s">
        <v>3542</v>
      </c>
      <c r="K1" t="s">
        <v>3756</v>
      </c>
      <c r="L1" s="91" t="s">
        <v>3181</v>
      </c>
    </row>
    <row r="2" spans="1:12" s="36" customFormat="1" x14ac:dyDescent="0.25">
      <c r="A2" s="35">
        <v>45048</v>
      </c>
      <c r="B2" s="36" t="s">
        <v>3557</v>
      </c>
      <c r="C2" s="36">
        <v>4921434109</v>
      </c>
      <c r="D2" s="36" t="s">
        <v>3558</v>
      </c>
      <c r="E2" s="94">
        <v>11720</v>
      </c>
      <c r="F2" s="36" t="s">
        <v>3625</v>
      </c>
      <c r="G2" s="36" t="s">
        <v>3720</v>
      </c>
      <c r="H2" s="36" t="s">
        <v>3793</v>
      </c>
      <c r="L2" s="94">
        <v>28500</v>
      </c>
    </row>
    <row r="3" spans="1:12" x14ac:dyDescent="0.25">
      <c r="A3" s="35">
        <v>45051</v>
      </c>
      <c r="B3" s="36" t="s">
        <v>3559</v>
      </c>
      <c r="C3" s="36">
        <v>8125844897</v>
      </c>
      <c r="D3" s="36" t="s">
        <v>4124</v>
      </c>
      <c r="E3" s="94">
        <v>2860</v>
      </c>
      <c r="F3" s="36" t="s">
        <v>3615</v>
      </c>
      <c r="G3" s="36" t="s">
        <v>3680</v>
      </c>
      <c r="H3" s="36" t="s">
        <v>3733</v>
      </c>
      <c r="I3" s="36" t="s">
        <v>3780</v>
      </c>
      <c r="J3" s="36" t="s">
        <v>4125</v>
      </c>
      <c r="K3" s="36"/>
      <c r="L3" s="94">
        <v>17900</v>
      </c>
    </row>
    <row r="4" spans="1:12" x14ac:dyDescent="0.25">
      <c r="A4" s="35">
        <v>45052</v>
      </c>
      <c r="B4" s="36" t="s">
        <v>3566</v>
      </c>
      <c r="C4" s="36">
        <v>8115261338</v>
      </c>
      <c r="D4" s="36" t="s">
        <v>3705</v>
      </c>
      <c r="E4" s="94">
        <v>5580</v>
      </c>
      <c r="F4" s="36" t="s">
        <v>3686</v>
      </c>
      <c r="G4" s="36" t="s">
        <v>3700</v>
      </c>
      <c r="H4" s="36" t="s">
        <v>3721</v>
      </c>
      <c r="I4" s="36"/>
      <c r="J4" s="36"/>
      <c r="K4" s="36"/>
      <c r="L4" s="94">
        <v>14750</v>
      </c>
    </row>
    <row r="5" spans="1:12" x14ac:dyDescent="0.25">
      <c r="A5" s="96">
        <v>45055</v>
      </c>
      <c r="B5" s="9" t="s">
        <v>3568</v>
      </c>
      <c r="C5" s="9">
        <v>8129020241</v>
      </c>
      <c r="D5" s="9" t="s">
        <v>3157</v>
      </c>
      <c r="E5" s="97">
        <v>2430</v>
      </c>
      <c r="F5" s="9"/>
      <c r="G5" s="9"/>
      <c r="H5" s="9"/>
      <c r="I5" s="9"/>
      <c r="J5" s="9"/>
      <c r="K5" s="9"/>
      <c r="L5" s="97">
        <v>12150</v>
      </c>
    </row>
    <row r="6" spans="1:12" s="36" customFormat="1" x14ac:dyDescent="0.25">
      <c r="A6" s="35">
        <v>45056</v>
      </c>
      <c r="B6" s="36" t="s">
        <v>3569</v>
      </c>
      <c r="C6" s="36">
        <v>8116261343</v>
      </c>
      <c r="D6" s="36" t="s">
        <v>3752</v>
      </c>
      <c r="E6" s="94">
        <v>5760</v>
      </c>
      <c r="F6" s="36" t="s">
        <v>3642</v>
      </c>
      <c r="G6" s="36" t="s">
        <v>3690</v>
      </c>
      <c r="H6" s="36" t="s">
        <v>3690</v>
      </c>
      <c r="I6" s="36" t="s">
        <v>3753</v>
      </c>
      <c r="J6" s="36" t="s">
        <v>3797</v>
      </c>
      <c r="K6" s="36" t="s">
        <v>3830</v>
      </c>
      <c r="L6" s="94">
        <v>40800</v>
      </c>
    </row>
    <row r="7" spans="1:12" x14ac:dyDescent="0.25">
      <c r="A7" s="35">
        <v>45058</v>
      </c>
      <c r="B7" s="36" t="s">
        <v>3579</v>
      </c>
      <c r="C7" s="36">
        <v>8441072620</v>
      </c>
      <c r="D7" s="36" t="s">
        <v>3580</v>
      </c>
      <c r="E7" s="94">
        <v>8600</v>
      </c>
      <c r="F7" s="36" t="s">
        <v>3641</v>
      </c>
      <c r="G7" s="36" t="s">
        <v>3702</v>
      </c>
      <c r="H7" s="36"/>
      <c r="I7" s="36"/>
      <c r="J7" s="36"/>
      <c r="K7" s="36"/>
      <c r="L7" s="94">
        <v>21500</v>
      </c>
    </row>
    <row r="8" spans="1:12" s="36" customFormat="1" x14ac:dyDescent="0.25">
      <c r="A8" s="35">
        <v>45066</v>
      </c>
      <c r="B8" s="36" t="s">
        <v>3768</v>
      </c>
      <c r="C8" s="36">
        <v>8121922258</v>
      </c>
      <c r="D8" s="36" t="s">
        <v>3591</v>
      </c>
      <c r="E8" s="94">
        <v>4600</v>
      </c>
      <c r="F8" s="36" t="s">
        <v>3667</v>
      </c>
      <c r="G8" s="36" t="s">
        <v>3722</v>
      </c>
      <c r="H8" s="36" t="s">
        <v>3769</v>
      </c>
      <c r="I8" s="36" t="s">
        <v>3796</v>
      </c>
      <c r="L8" s="94" t="s">
        <v>3890</v>
      </c>
    </row>
    <row r="9" spans="1:12" x14ac:dyDescent="0.25">
      <c r="A9" s="35">
        <v>45069</v>
      </c>
      <c r="B9" s="36" t="s">
        <v>3597</v>
      </c>
      <c r="C9" s="36">
        <v>8118410093</v>
      </c>
      <c r="D9" s="36" t="s">
        <v>3560</v>
      </c>
      <c r="E9" s="94">
        <v>2860</v>
      </c>
      <c r="F9" s="36" t="s">
        <v>3669</v>
      </c>
      <c r="G9" s="36" t="s">
        <v>3726</v>
      </c>
      <c r="H9" s="36" t="s">
        <v>3777</v>
      </c>
      <c r="I9" s="36" t="s">
        <v>3821</v>
      </c>
      <c r="J9" s="36"/>
      <c r="K9" s="36"/>
      <c r="L9" s="94">
        <v>14300</v>
      </c>
    </row>
    <row r="10" spans="1:12" x14ac:dyDescent="0.25">
      <c r="A10" s="35">
        <v>45073</v>
      </c>
      <c r="B10" s="36" t="s">
        <v>3605</v>
      </c>
      <c r="C10" s="36">
        <v>8111028459</v>
      </c>
      <c r="D10" s="36" t="s">
        <v>1150</v>
      </c>
      <c r="E10" s="94">
        <v>3420</v>
      </c>
      <c r="F10" s="36" t="s">
        <v>3747</v>
      </c>
      <c r="G10" s="36"/>
      <c r="H10" s="36"/>
      <c r="I10" s="36"/>
      <c r="J10" s="36"/>
      <c r="K10" s="36"/>
      <c r="L10" s="94">
        <v>17100</v>
      </c>
    </row>
    <row r="11" spans="1:12" x14ac:dyDescent="0.25">
      <c r="K11"/>
      <c r="L11" s="91"/>
    </row>
    <row r="12" spans="1:12" x14ac:dyDescent="0.25">
      <c r="K12"/>
      <c r="L12" s="9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0167-4335-4360-BA69-5D3D39B9E9B4}">
  <dimension ref="A1:L10"/>
  <sheetViews>
    <sheetView zoomScale="110" zoomScaleNormal="110" workbookViewId="0">
      <selection activeCell="C14" sqref="C14"/>
    </sheetView>
  </sheetViews>
  <sheetFormatPr baseColWidth="10" defaultRowHeight="15" x14ac:dyDescent="0.25"/>
  <cols>
    <col min="1" max="1" width="12" customWidth="1"/>
    <col min="2" max="2" width="27.42578125" customWidth="1"/>
    <col min="3" max="3" width="23.7109375" customWidth="1"/>
    <col min="4" max="4" width="33.5703125" customWidth="1"/>
    <col min="5" max="5" width="19.85546875" customWidth="1"/>
    <col min="6" max="10" width="12" customWidth="1"/>
    <col min="11" max="11" width="13" customWidth="1"/>
  </cols>
  <sheetData>
    <row r="1" spans="1:12" x14ac:dyDescent="0.25">
      <c r="A1" t="s">
        <v>3317</v>
      </c>
      <c r="B1" t="s">
        <v>3612</v>
      </c>
      <c r="C1" s="108" t="s">
        <v>3399</v>
      </c>
      <c r="D1" t="s">
        <v>3613</v>
      </c>
      <c r="E1" s="91" t="s">
        <v>3176</v>
      </c>
      <c r="F1" t="s">
        <v>3226</v>
      </c>
      <c r="G1" t="s">
        <v>3227</v>
      </c>
      <c r="H1" t="s">
        <v>3228</v>
      </c>
      <c r="I1" t="s">
        <v>3229</v>
      </c>
      <c r="J1" t="s">
        <v>3542</v>
      </c>
      <c r="K1" s="91" t="s">
        <v>3181</v>
      </c>
      <c r="L1" t="s">
        <v>3390</v>
      </c>
    </row>
    <row r="2" spans="1:12" x14ac:dyDescent="0.25">
      <c r="A2" s="35">
        <v>45080</v>
      </c>
      <c r="B2" s="36" t="s">
        <v>3622</v>
      </c>
      <c r="C2" s="109" t="s">
        <v>3623</v>
      </c>
      <c r="D2" s="36" t="s">
        <v>3624</v>
      </c>
      <c r="E2" s="94">
        <v>3520</v>
      </c>
      <c r="F2" s="36">
        <v>53200</v>
      </c>
      <c r="G2" s="36"/>
      <c r="H2" s="36"/>
      <c r="I2" s="36"/>
      <c r="J2" s="36"/>
      <c r="K2" s="94">
        <v>8800</v>
      </c>
    </row>
    <row r="3" spans="1:12" s="36" customFormat="1" x14ac:dyDescent="0.25">
      <c r="A3" s="35">
        <v>45080</v>
      </c>
      <c r="B3" s="36" t="s">
        <v>3636</v>
      </c>
      <c r="C3" s="109">
        <v>8110460629</v>
      </c>
      <c r="D3" s="36" t="s">
        <v>3637</v>
      </c>
      <c r="E3" s="94">
        <v>2790</v>
      </c>
      <c r="F3" s="36" t="s">
        <v>3668</v>
      </c>
      <c r="G3" s="36" t="s">
        <v>3735</v>
      </c>
      <c r="H3" s="36" t="s">
        <v>3786</v>
      </c>
      <c r="I3" s="36" t="s">
        <v>3825</v>
      </c>
      <c r="K3" s="94">
        <v>13950</v>
      </c>
    </row>
    <row r="4" spans="1:12" x14ac:dyDescent="0.25">
      <c r="A4" s="35">
        <v>45087</v>
      </c>
      <c r="B4" s="36" t="s">
        <v>3628</v>
      </c>
      <c r="C4" s="109">
        <v>8115551532</v>
      </c>
      <c r="D4" s="36" t="s">
        <v>3629</v>
      </c>
      <c r="E4" s="94">
        <v>3600</v>
      </c>
      <c r="F4" s="36" t="s">
        <v>3699</v>
      </c>
      <c r="G4" s="36" t="s">
        <v>3762</v>
      </c>
      <c r="H4" s="36" t="s">
        <v>3801</v>
      </c>
      <c r="I4" s="36"/>
      <c r="J4" s="36"/>
      <c r="K4" s="94">
        <v>19500</v>
      </c>
    </row>
    <row r="5" spans="1:12" s="36" customFormat="1" x14ac:dyDescent="0.25">
      <c r="A5" s="35">
        <v>45087</v>
      </c>
      <c r="B5" s="36" t="s">
        <v>3632</v>
      </c>
      <c r="C5" s="109">
        <v>8120126849</v>
      </c>
      <c r="D5" s="36" t="s">
        <v>3633</v>
      </c>
      <c r="E5" s="94">
        <v>3400</v>
      </c>
      <c r="F5" s="36" t="s">
        <v>3685</v>
      </c>
      <c r="G5" s="36" t="s">
        <v>3809</v>
      </c>
      <c r="K5" s="94">
        <v>17000</v>
      </c>
    </row>
    <row r="6" spans="1:12" s="36" customFormat="1" x14ac:dyDescent="0.25">
      <c r="A6" s="35">
        <v>45089</v>
      </c>
      <c r="B6" s="36" t="s">
        <v>3635</v>
      </c>
      <c r="C6" s="109">
        <v>8117743159</v>
      </c>
      <c r="D6" s="36" t="s">
        <v>3968</v>
      </c>
      <c r="E6" s="94">
        <v>6340</v>
      </c>
      <c r="F6" s="36" t="s">
        <v>3678</v>
      </c>
      <c r="G6" s="36" t="s">
        <v>3755</v>
      </c>
      <c r="H6" s="36" t="s">
        <v>3828</v>
      </c>
      <c r="I6" s="36" t="s">
        <v>3831</v>
      </c>
      <c r="J6" s="36" t="s">
        <v>1066</v>
      </c>
      <c r="K6" s="94">
        <v>31700</v>
      </c>
    </row>
    <row r="7" spans="1:12" x14ac:dyDescent="0.25">
      <c r="A7" s="35">
        <v>45090</v>
      </c>
      <c r="B7" s="36" t="s">
        <v>3647</v>
      </c>
      <c r="C7" s="109">
        <v>8123477945</v>
      </c>
      <c r="D7" s="36" t="s">
        <v>3648</v>
      </c>
      <c r="E7" s="94">
        <v>3960</v>
      </c>
      <c r="F7" s="36" t="s">
        <v>3692</v>
      </c>
      <c r="G7" s="36" t="s">
        <v>3754</v>
      </c>
      <c r="H7" s="36" t="s">
        <v>3802</v>
      </c>
      <c r="I7" s="36">
        <v>3840</v>
      </c>
      <c r="J7" s="36"/>
      <c r="K7" s="94">
        <v>19800</v>
      </c>
      <c r="L7" s="36"/>
    </row>
    <row r="8" spans="1:12" x14ac:dyDescent="0.25">
      <c r="A8" s="35">
        <v>45092</v>
      </c>
      <c r="B8" s="36" t="s">
        <v>3713</v>
      </c>
      <c r="C8" s="109">
        <v>8180147344</v>
      </c>
      <c r="D8" s="36" t="s">
        <v>3714</v>
      </c>
      <c r="E8" s="94">
        <v>9600</v>
      </c>
      <c r="F8" s="36" t="s">
        <v>3715</v>
      </c>
      <c r="G8" s="36" t="s">
        <v>3772</v>
      </c>
      <c r="H8" s="36"/>
      <c r="I8" s="36"/>
      <c r="J8" s="36"/>
      <c r="K8" s="94">
        <v>24000</v>
      </c>
    </row>
    <row r="9" spans="1:12" s="36" customFormat="1" x14ac:dyDescent="0.25">
      <c r="A9" s="35">
        <v>45094</v>
      </c>
      <c r="B9" s="36" t="s">
        <v>3650</v>
      </c>
      <c r="C9" s="109"/>
      <c r="D9" s="36" t="s">
        <v>2663</v>
      </c>
      <c r="E9" s="94">
        <v>3600</v>
      </c>
      <c r="F9" s="36" t="s">
        <v>3684</v>
      </c>
      <c r="G9" s="36" t="s">
        <v>3767</v>
      </c>
      <c r="H9" s="36" t="s">
        <v>3817</v>
      </c>
      <c r="I9" s="36" t="s">
        <v>3846</v>
      </c>
      <c r="K9" s="94">
        <v>18000</v>
      </c>
      <c r="L9" s="36" t="s">
        <v>3840</v>
      </c>
    </row>
    <row r="10" spans="1:12" x14ac:dyDescent="0.25">
      <c r="A10" s="16"/>
      <c r="E10" s="91"/>
      <c r="K10" s="9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FF7B-2A06-4269-8F4C-CE6E15DC31EF}">
  <dimension ref="A1:L5"/>
  <sheetViews>
    <sheetView workbookViewId="0">
      <selection activeCell="K15" sqref="K15"/>
    </sheetView>
  </sheetViews>
  <sheetFormatPr baseColWidth="10" defaultRowHeight="15" x14ac:dyDescent="0.25"/>
  <cols>
    <col min="1" max="1" width="12" customWidth="1"/>
    <col min="2" max="2" width="24.28515625" customWidth="1"/>
    <col min="3" max="3" width="12" customWidth="1"/>
    <col min="4" max="4" width="43.42578125" customWidth="1"/>
    <col min="5" max="5" width="12" style="91" customWidth="1"/>
    <col min="6" max="11" width="12" customWidth="1"/>
    <col min="12" max="12" width="12" style="91" customWidth="1"/>
    <col min="13" max="13" width="13" customWidth="1"/>
  </cols>
  <sheetData>
    <row r="1" spans="1:12" x14ac:dyDescent="0.25">
      <c r="A1" t="s">
        <v>3173</v>
      </c>
      <c r="B1" t="s">
        <v>3612</v>
      </c>
      <c r="C1" t="s">
        <v>3399</v>
      </c>
      <c r="D1" t="s">
        <v>3492</v>
      </c>
      <c r="E1" s="91" t="s">
        <v>3176</v>
      </c>
      <c r="F1" t="s">
        <v>3738</v>
      </c>
      <c r="G1" t="s">
        <v>3227</v>
      </c>
      <c r="H1" t="s">
        <v>3179</v>
      </c>
      <c r="I1" t="s">
        <v>3229</v>
      </c>
      <c r="J1" t="s">
        <v>3542</v>
      </c>
      <c r="K1" t="s">
        <v>3756</v>
      </c>
      <c r="L1" s="91" t="s">
        <v>3181</v>
      </c>
    </row>
    <row r="2" spans="1:12" x14ac:dyDescent="0.25">
      <c r="A2" s="35">
        <v>45139</v>
      </c>
      <c r="B2" s="36" t="s">
        <v>3739</v>
      </c>
      <c r="C2" s="36">
        <v>8281437637</v>
      </c>
      <c r="D2" s="36" t="s">
        <v>3921</v>
      </c>
      <c r="E2" s="94">
        <v>5640</v>
      </c>
      <c r="F2" s="143">
        <v>5640</v>
      </c>
      <c r="G2" s="143">
        <v>5640</v>
      </c>
      <c r="H2" s="143" t="s">
        <v>3859</v>
      </c>
      <c r="I2" s="143" t="s">
        <v>3920</v>
      </c>
      <c r="J2" s="143"/>
      <c r="K2" s="143"/>
      <c r="L2" s="94">
        <v>28200</v>
      </c>
    </row>
    <row r="3" spans="1:12" x14ac:dyDescent="0.25">
      <c r="A3" s="96">
        <v>45146</v>
      </c>
      <c r="B3" s="9" t="s">
        <v>3748</v>
      </c>
      <c r="C3" s="9">
        <v>8115776181</v>
      </c>
      <c r="D3" s="9" t="s">
        <v>3749</v>
      </c>
      <c r="E3" s="97">
        <v>5500</v>
      </c>
      <c r="F3" s="9"/>
      <c r="G3" s="9"/>
      <c r="H3" s="9"/>
      <c r="I3" s="9"/>
      <c r="J3" s="9"/>
      <c r="K3" s="9"/>
      <c r="L3" s="97">
        <v>25200</v>
      </c>
    </row>
    <row r="4" spans="1:12" x14ac:dyDescent="0.25">
      <c r="A4" s="35">
        <v>45147</v>
      </c>
      <c r="B4" s="36" t="s">
        <v>3751</v>
      </c>
      <c r="C4" s="36">
        <v>8182062654</v>
      </c>
      <c r="D4" s="36" t="s">
        <v>3981</v>
      </c>
      <c r="E4" s="94">
        <v>2250</v>
      </c>
      <c r="F4" s="36" t="s">
        <v>3800</v>
      </c>
      <c r="G4" s="36" t="s">
        <v>3833</v>
      </c>
      <c r="H4" s="36" t="s">
        <v>3861</v>
      </c>
      <c r="I4" s="36" t="s">
        <v>3946</v>
      </c>
      <c r="J4" s="36" t="s">
        <v>3982</v>
      </c>
      <c r="K4" s="36" t="s">
        <v>4017</v>
      </c>
      <c r="L4" s="94">
        <v>15650</v>
      </c>
    </row>
    <row r="5" spans="1:12" x14ac:dyDescent="0.25">
      <c r="A5" s="35">
        <v>45156</v>
      </c>
      <c r="B5" s="36" t="s">
        <v>3764</v>
      </c>
      <c r="C5" s="36">
        <v>8115242498</v>
      </c>
      <c r="D5" s="36" t="s">
        <v>3765</v>
      </c>
      <c r="E5" s="94"/>
      <c r="F5" s="36"/>
      <c r="G5" s="36"/>
      <c r="H5" s="36"/>
      <c r="I5" s="36"/>
      <c r="J5" s="36"/>
      <c r="K5" s="36"/>
      <c r="L5" s="94">
        <v>16540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AC85-DE20-4F47-A198-B9EAA83F2093}">
  <dimension ref="A1:T15"/>
  <sheetViews>
    <sheetView zoomScale="120" zoomScaleNormal="120" workbookViewId="0">
      <selection activeCell="F8" sqref="F8"/>
    </sheetView>
  </sheetViews>
  <sheetFormatPr baseColWidth="10" defaultRowHeight="15" x14ac:dyDescent="0.25"/>
  <cols>
    <col min="2" max="2" width="22.140625" customWidth="1"/>
    <col min="3" max="3" width="14.5703125" style="111" bestFit="1" customWidth="1"/>
    <col min="4" max="4" width="57.7109375" customWidth="1"/>
    <col min="5" max="5" width="13.42578125" customWidth="1"/>
    <col min="6" max="6" width="15.7109375" customWidth="1"/>
    <col min="7" max="7" width="14" customWidth="1"/>
    <col min="8" max="8" width="13.42578125" customWidth="1"/>
    <col min="10" max="11" width="11.42578125" customWidth="1"/>
    <col min="12" max="13" width="10.7109375" customWidth="1"/>
    <col min="14" max="14" width="13.42578125" customWidth="1"/>
    <col min="15" max="16" width="10.7109375" customWidth="1"/>
    <col min="17" max="17" width="11.42578125" style="115"/>
  </cols>
  <sheetData>
    <row r="1" spans="1:20" x14ac:dyDescent="0.25">
      <c r="A1" s="106" t="s">
        <v>3317</v>
      </c>
      <c r="B1" s="121" t="s">
        <v>3612</v>
      </c>
      <c r="C1" s="122" t="s">
        <v>3399</v>
      </c>
      <c r="D1" s="121" t="s">
        <v>3613</v>
      </c>
      <c r="E1" s="123" t="s">
        <v>3176</v>
      </c>
      <c r="F1" s="121" t="s">
        <v>3226</v>
      </c>
      <c r="G1" s="121" t="s">
        <v>3227</v>
      </c>
      <c r="H1" s="121" t="s">
        <v>3228</v>
      </c>
      <c r="I1" s="121" t="s">
        <v>3229</v>
      </c>
      <c r="J1" s="121"/>
      <c r="K1" s="121"/>
      <c r="L1" s="121"/>
      <c r="M1" s="121"/>
      <c r="N1" s="121"/>
      <c r="O1" s="121"/>
      <c r="P1" s="121"/>
      <c r="Q1" s="121"/>
      <c r="R1" s="112"/>
      <c r="S1" s="107" t="s">
        <v>3181</v>
      </c>
    </row>
    <row r="2" spans="1:20" s="36" customFormat="1" x14ac:dyDescent="0.25">
      <c r="A2" s="110">
        <v>45108</v>
      </c>
      <c r="B2" s="124" t="s">
        <v>3676</v>
      </c>
      <c r="C2" s="125">
        <v>8116159882</v>
      </c>
      <c r="D2" s="124" t="s">
        <v>3795</v>
      </c>
      <c r="E2" s="126">
        <v>4080</v>
      </c>
      <c r="F2" s="124" t="s">
        <v>3737</v>
      </c>
      <c r="G2" s="124" t="s">
        <v>3794</v>
      </c>
      <c r="H2" s="124"/>
      <c r="I2" s="124"/>
      <c r="J2" s="124"/>
      <c r="K2" s="124"/>
      <c r="L2" s="124"/>
      <c r="M2" s="124"/>
      <c r="N2" s="124"/>
      <c r="O2" s="124"/>
      <c r="P2" s="158"/>
      <c r="Q2" s="113">
        <v>10200</v>
      </c>
    </row>
    <row r="3" spans="1:20" x14ac:dyDescent="0.25">
      <c r="A3" s="110">
        <v>45108</v>
      </c>
      <c r="B3" s="4" t="s">
        <v>3675</v>
      </c>
      <c r="C3" s="127">
        <v>8134426862</v>
      </c>
      <c r="D3" s="4" t="s">
        <v>4003</v>
      </c>
      <c r="E3" s="103">
        <v>3580</v>
      </c>
      <c r="F3" s="4" t="s">
        <v>3729</v>
      </c>
      <c r="G3" s="4" t="s">
        <v>3779</v>
      </c>
      <c r="H3" s="4" t="s">
        <v>3782</v>
      </c>
      <c r="I3" s="4" t="s">
        <v>3820</v>
      </c>
      <c r="J3" s="4" t="s">
        <v>3860</v>
      </c>
      <c r="K3" s="4" t="s">
        <v>3994</v>
      </c>
      <c r="L3" s="4">
        <v>850</v>
      </c>
      <c r="M3" s="4"/>
      <c r="N3" s="4"/>
      <c r="O3" s="4"/>
      <c r="P3" s="36"/>
      <c r="Q3" s="114">
        <v>18900</v>
      </c>
      <c r="R3" s="36"/>
      <c r="S3" s="36"/>
      <c r="T3" s="36"/>
    </row>
    <row r="4" spans="1:20" s="36" customFormat="1" x14ac:dyDescent="0.25">
      <c r="A4" s="110">
        <v>45110</v>
      </c>
      <c r="B4" s="124" t="s">
        <v>3677</v>
      </c>
      <c r="C4" s="125">
        <v>8118275439</v>
      </c>
      <c r="D4" s="124" t="s">
        <v>3651</v>
      </c>
      <c r="E4" s="126">
        <v>9359</v>
      </c>
      <c r="F4" s="124" t="s">
        <v>3759</v>
      </c>
      <c r="G4" s="124"/>
      <c r="H4" s="124"/>
      <c r="I4" s="124"/>
      <c r="J4" s="124"/>
      <c r="K4" s="124"/>
      <c r="L4" s="124"/>
      <c r="M4" s="124"/>
      <c r="N4" s="124"/>
      <c r="O4" s="124"/>
      <c r="P4" s="158"/>
      <c r="Q4" s="113">
        <v>24750</v>
      </c>
      <c r="R4" s="36" t="s">
        <v>1891</v>
      </c>
    </row>
    <row r="5" spans="1:20" x14ac:dyDescent="0.25">
      <c r="A5" s="110">
        <v>45115</v>
      </c>
      <c r="B5" s="4" t="s">
        <v>3688</v>
      </c>
      <c r="C5" s="127">
        <v>8131560094</v>
      </c>
      <c r="D5" s="4" t="s">
        <v>3851</v>
      </c>
      <c r="E5" s="103">
        <v>2840</v>
      </c>
      <c r="F5" s="4" t="s">
        <v>3785</v>
      </c>
      <c r="G5" s="4" t="s">
        <v>3852</v>
      </c>
      <c r="H5" s="4"/>
      <c r="I5" s="4"/>
      <c r="J5" s="4"/>
      <c r="K5" s="4"/>
      <c r="L5" s="4"/>
      <c r="M5" s="4"/>
      <c r="N5" s="4"/>
      <c r="O5" s="4"/>
      <c r="P5" s="36"/>
      <c r="Q5" s="114">
        <v>14200</v>
      </c>
      <c r="R5" s="36"/>
      <c r="S5" s="36"/>
      <c r="T5" s="36"/>
    </row>
    <row r="6" spans="1:20" x14ac:dyDescent="0.25">
      <c r="A6" s="110">
        <v>45117</v>
      </c>
      <c r="B6" s="124" t="s">
        <v>3862</v>
      </c>
      <c r="C6" s="125">
        <v>8121588778</v>
      </c>
      <c r="D6" s="124" t="s">
        <v>3892</v>
      </c>
      <c r="E6" s="126">
        <v>6240</v>
      </c>
      <c r="F6" s="124" t="s">
        <v>3758</v>
      </c>
      <c r="G6" s="124" t="s">
        <v>3798</v>
      </c>
      <c r="H6" s="124" t="s">
        <v>3832</v>
      </c>
      <c r="I6" s="124" t="s">
        <v>3864</v>
      </c>
      <c r="J6" s="124" t="s">
        <v>3865</v>
      </c>
      <c r="K6" s="124" t="s">
        <v>3893</v>
      </c>
      <c r="L6" s="153" t="s">
        <v>3955</v>
      </c>
      <c r="M6" s="124" t="s">
        <v>3995</v>
      </c>
      <c r="N6" s="124" t="s">
        <v>2483</v>
      </c>
      <c r="O6" s="124" t="s">
        <v>4136</v>
      </c>
      <c r="P6" s="158" t="s">
        <v>4231</v>
      </c>
      <c r="Q6" s="113">
        <v>33500</v>
      </c>
      <c r="R6" s="36" t="s">
        <v>1891</v>
      </c>
      <c r="S6" s="36" t="s">
        <v>3694</v>
      </c>
      <c r="T6" s="36" t="s">
        <v>3863</v>
      </c>
    </row>
    <row r="7" spans="1:20" s="36" customFormat="1" x14ac:dyDescent="0.25">
      <c r="A7" s="110">
        <v>45117</v>
      </c>
      <c r="B7" s="4" t="s">
        <v>3718</v>
      </c>
      <c r="C7" s="127">
        <v>8134006464</v>
      </c>
      <c r="D7" s="4" t="s">
        <v>3695</v>
      </c>
      <c r="E7" s="103">
        <v>2000</v>
      </c>
      <c r="F7" s="4" t="s">
        <v>3744</v>
      </c>
      <c r="G7" s="4"/>
      <c r="H7" s="4"/>
      <c r="I7" s="4"/>
      <c r="J7" s="4"/>
      <c r="K7" s="4"/>
      <c r="L7" s="4"/>
      <c r="M7" s="4"/>
      <c r="N7" s="4"/>
      <c r="O7" s="4"/>
      <c r="Q7" s="114">
        <v>8400</v>
      </c>
      <c r="R7" s="36" t="s">
        <v>1891</v>
      </c>
    </row>
    <row r="8" spans="1:20" s="36" customFormat="1" x14ac:dyDescent="0.25">
      <c r="A8" s="110">
        <v>45124</v>
      </c>
      <c r="B8" s="124" t="s">
        <v>3716</v>
      </c>
      <c r="C8" s="125">
        <v>8112369800</v>
      </c>
      <c r="D8" s="124" t="s">
        <v>3717</v>
      </c>
      <c r="E8" s="126">
        <v>4860</v>
      </c>
      <c r="F8" s="124" t="s">
        <v>3763</v>
      </c>
      <c r="G8" s="124" t="s">
        <v>3819</v>
      </c>
      <c r="H8" s="124" t="s">
        <v>3838</v>
      </c>
      <c r="I8" s="124"/>
      <c r="J8" s="124"/>
      <c r="K8" s="124"/>
      <c r="L8" s="124"/>
      <c r="M8" s="124"/>
      <c r="N8" s="124"/>
      <c r="O8" s="124"/>
      <c r="P8" s="158"/>
      <c r="Q8" s="113">
        <v>12150</v>
      </c>
    </row>
    <row r="9" spans="1:20" x14ac:dyDescent="0.25">
      <c r="A9" s="35" t="s">
        <v>3889</v>
      </c>
      <c r="B9" s="4" t="s">
        <v>3723</v>
      </c>
      <c r="C9" s="127">
        <v>2283062980</v>
      </c>
      <c r="D9" s="4" t="s">
        <v>4197</v>
      </c>
      <c r="E9" s="103">
        <v>2000</v>
      </c>
      <c r="F9" s="4" t="s">
        <v>3770</v>
      </c>
      <c r="G9" s="4" t="s">
        <v>3815</v>
      </c>
      <c r="H9" s="4" t="s">
        <v>3850</v>
      </c>
      <c r="I9" s="4" t="s">
        <v>3888</v>
      </c>
      <c r="J9" s="4" t="s">
        <v>4198</v>
      </c>
      <c r="K9" s="4"/>
      <c r="L9" s="4"/>
      <c r="M9" s="4"/>
      <c r="N9" s="4"/>
      <c r="O9" s="4"/>
      <c r="P9" s="36"/>
      <c r="Q9" s="114">
        <v>11000</v>
      </c>
      <c r="R9" s="36"/>
      <c r="S9" s="36"/>
      <c r="T9" s="36"/>
    </row>
    <row r="10" spans="1:20" s="36" customFormat="1" x14ac:dyDescent="0.25">
      <c r="A10" s="110">
        <v>45132</v>
      </c>
      <c r="B10" s="124" t="s">
        <v>3728</v>
      </c>
      <c r="C10" s="125">
        <v>8116603328</v>
      </c>
      <c r="D10" s="124" t="s">
        <v>3792</v>
      </c>
      <c r="E10" s="126">
        <v>9000</v>
      </c>
      <c r="F10" s="124" t="s">
        <v>3791</v>
      </c>
      <c r="G10" s="124"/>
      <c r="H10" s="124" t="s">
        <v>3933</v>
      </c>
      <c r="I10" s="124"/>
      <c r="J10" s="124"/>
      <c r="K10" s="124"/>
      <c r="L10" s="124"/>
      <c r="M10" s="124"/>
      <c r="N10" s="124"/>
      <c r="O10" s="124"/>
      <c r="P10" s="158"/>
      <c r="Q10" s="113">
        <v>23200</v>
      </c>
    </row>
    <row r="11" spans="1:20" s="36" customFormat="1" x14ac:dyDescent="0.25">
      <c r="A11" s="35">
        <v>45136</v>
      </c>
      <c r="B11" s="4" t="s">
        <v>3741</v>
      </c>
      <c r="C11" s="127">
        <v>8111185627</v>
      </c>
      <c r="D11" s="4" t="s">
        <v>3843</v>
      </c>
      <c r="E11" s="103">
        <v>3760</v>
      </c>
      <c r="F11" s="124" t="s">
        <v>3771</v>
      </c>
      <c r="G11" s="4" t="s">
        <v>3823</v>
      </c>
      <c r="H11" s="4" t="s">
        <v>3836</v>
      </c>
      <c r="I11" s="4" t="s">
        <v>3845</v>
      </c>
      <c r="J11" s="4" t="s">
        <v>3844</v>
      </c>
      <c r="K11" s="4"/>
      <c r="L11" s="4"/>
      <c r="M11" s="4"/>
      <c r="N11" s="4"/>
      <c r="O11" s="4"/>
      <c r="Q11" s="117">
        <v>20800</v>
      </c>
    </row>
    <row r="12" spans="1:20" x14ac:dyDescent="0.25">
      <c r="A12" s="35">
        <v>45136</v>
      </c>
      <c r="B12" s="124" t="s">
        <v>3742</v>
      </c>
      <c r="C12" s="125">
        <v>8180920073</v>
      </c>
      <c r="D12" s="124" t="s">
        <v>3940</v>
      </c>
      <c r="E12" s="126">
        <v>5040</v>
      </c>
      <c r="F12" s="124" t="s">
        <v>3775</v>
      </c>
      <c r="G12" s="124" t="s">
        <v>3816</v>
      </c>
      <c r="H12" s="124" t="s">
        <v>3858</v>
      </c>
      <c r="I12" s="4" t="s">
        <v>2232</v>
      </c>
      <c r="J12" s="4" t="s">
        <v>4050</v>
      </c>
      <c r="K12" s="4"/>
      <c r="L12" s="4"/>
      <c r="M12" s="4"/>
      <c r="N12" s="4"/>
      <c r="O12" s="4"/>
      <c r="P12" s="36"/>
      <c r="Q12" s="129">
        <v>25200</v>
      </c>
      <c r="R12" s="36"/>
      <c r="S12" s="36"/>
      <c r="T12" s="36"/>
    </row>
    <row r="14" spans="1:20" x14ac:dyDescent="0.25">
      <c r="Q14"/>
      <c r="R14" s="115"/>
    </row>
    <row r="15" spans="1:20" x14ac:dyDescent="0.25">
      <c r="E15" s="128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B9E0-8256-45E5-8614-B0DCB20B5C82}">
  <dimension ref="A1:M11"/>
  <sheetViews>
    <sheetView workbookViewId="0">
      <selection activeCell="E22" sqref="E22"/>
    </sheetView>
  </sheetViews>
  <sheetFormatPr baseColWidth="10" defaultRowHeight="15" x14ac:dyDescent="0.25"/>
  <cols>
    <col min="1" max="1" width="9" customWidth="1"/>
    <col min="2" max="2" width="23.5703125" customWidth="1"/>
    <col min="3" max="3" width="12" customWidth="1"/>
    <col min="4" max="4" width="48.28515625" customWidth="1"/>
    <col min="5" max="5" width="12" style="91" customWidth="1"/>
    <col min="6" max="9" width="12" customWidth="1"/>
    <col min="10" max="10" width="13" style="91" customWidth="1"/>
  </cols>
  <sheetData>
    <row r="1" spans="1:13" x14ac:dyDescent="0.25">
      <c r="A1" t="s">
        <v>3173</v>
      </c>
      <c r="B1" t="s">
        <v>3612</v>
      </c>
      <c r="C1" t="s">
        <v>3399</v>
      </c>
      <c r="D1" t="s">
        <v>3492</v>
      </c>
      <c r="E1" s="91" t="s">
        <v>3176</v>
      </c>
      <c r="F1" t="s">
        <v>3226</v>
      </c>
      <c r="G1" t="s">
        <v>3227</v>
      </c>
      <c r="H1" t="s">
        <v>3228</v>
      </c>
      <c r="I1" t="s">
        <v>3229</v>
      </c>
      <c r="J1" s="91" t="s">
        <v>3181</v>
      </c>
      <c r="K1" s="91" t="s">
        <v>3317</v>
      </c>
    </row>
    <row r="2" spans="1:13" s="36" customFormat="1" x14ac:dyDescent="0.25">
      <c r="A2" s="35">
        <v>45170</v>
      </c>
      <c r="B2" s="36" t="s">
        <v>3781</v>
      </c>
      <c r="C2" s="36">
        <v>8115553402</v>
      </c>
      <c r="D2" s="36" t="s">
        <v>3873</v>
      </c>
      <c r="E2" s="94">
        <v>4000</v>
      </c>
      <c r="F2" s="36" t="s">
        <v>3811</v>
      </c>
      <c r="G2" s="36" t="s">
        <v>3829</v>
      </c>
      <c r="H2" s="36" t="s">
        <v>3874</v>
      </c>
      <c r="J2" s="94">
        <v>9900</v>
      </c>
    </row>
    <row r="3" spans="1:13" x14ac:dyDescent="0.25">
      <c r="A3" s="35">
        <v>45171</v>
      </c>
      <c r="B3" s="36" t="s">
        <v>3783</v>
      </c>
      <c r="C3" s="36">
        <v>8443600620</v>
      </c>
      <c r="D3" s="36" t="s">
        <v>3788</v>
      </c>
      <c r="E3" s="94">
        <v>3380</v>
      </c>
      <c r="F3" s="36" t="s">
        <v>3827</v>
      </c>
      <c r="G3" s="36" t="s">
        <v>3866</v>
      </c>
      <c r="H3" s="36" t="s">
        <v>3938</v>
      </c>
      <c r="I3" s="36" t="s">
        <v>4016</v>
      </c>
      <c r="J3" s="94">
        <v>16900</v>
      </c>
      <c r="K3" s="36" t="s">
        <v>3784</v>
      </c>
    </row>
    <row r="4" spans="1:13" x14ac:dyDescent="0.25">
      <c r="A4" s="35">
        <v>45171</v>
      </c>
      <c r="B4" s="36" t="s">
        <v>3787</v>
      </c>
      <c r="C4" s="36">
        <v>8117843975</v>
      </c>
      <c r="D4" s="36" t="s">
        <v>3853</v>
      </c>
      <c r="E4" s="94">
        <v>3000</v>
      </c>
      <c r="F4" s="36" t="s">
        <v>3822</v>
      </c>
      <c r="G4" s="36"/>
      <c r="H4" s="36"/>
      <c r="I4" s="36"/>
      <c r="J4" s="94">
        <v>15000</v>
      </c>
      <c r="K4" s="36"/>
    </row>
    <row r="5" spans="1:13" x14ac:dyDescent="0.25">
      <c r="A5" s="35">
        <v>45178</v>
      </c>
      <c r="B5" s="36" t="s">
        <v>3799</v>
      </c>
      <c r="C5" s="36">
        <v>8181762493</v>
      </c>
      <c r="D5" s="36" t="s">
        <v>941</v>
      </c>
      <c r="E5" s="94">
        <v>3420</v>
      </c>
      <c r="F5" s="36" t="s">
        <v>3834</v>
      </c>
      <c r="G5" s="36" t="s">
        <v>3927</v>
      </c>
      <c r="H5" s="36" t="s">
        <v>3928</v>
      </c>
      <c r="I5" s="36" t="s">
        <v>3976</v>
      </c>
      <c r="J5" s="94">
        <v>17100</v>
      </c>
      <c r="K5" s="36"/>
      <c r="L5" s="36"/>
      <c r="M5">
        <v>17950</v>
      </c>
    </row>
    <row r="6" spans="1:13" x14ac:dyDescent="0.25">
      <c r="A6" s="35">
        <v>45184</v>
      </c>
      <c r="B6" s="36" t="s">
        <v>3805</v>
      </c>
      <c r="C6" s="36">
        <v>8181636082</v>
      </c>
      <c r="D6" s="36" t="s">
        <v>3807</v>
      </c>
      <c r="E6" s="94">
        <v>7980</v>
      </c>
      <c r="F6" s="36" t="s">
        <v>3808</v>
      </c>
      <c r="G6" s="36" t="s">
        <v>3854</v>
      </c>
      <c r="H6" s="36"/>
      <c r="I6" s="36"/>
      <c r="J6" s="94">
        <v>20450</v>
      </c>
      <c r="K6" s="36"/>
    </row>
    <row r="7" spans="1:13" x14ac:dyDescent="0.25">
      <c r="A7" s="35">
        <v>45184</v>
      </c>
      <c r="B7" s="36" t="s">
        <v>3806</v>
      </c>
      <c r="C7" s="36">
        <v>8131906169</v>
      </c>
      <c r="D7" s="36" t="s">
        <v>3875</v>
      </c>
      <c r="E7" s="94">
        <v>8000</v>
      </c>
      <c r="F7" s="36" t="s">
        <v>3841</v>
      </c>
      <c r="G7" s="36" t="s">
        <v>3876</v>
      </c>
      <c r="H7" s="36" t="s">
        <v>3880</v>
      </c>
      <c r="I7" s="36"/>
      <c r="J7" s="94">
        <v>18500</v>
      </c>
      <c r="K7" s="36"/>
    </row>
    <row r="8" spans="1:13" s="36" customFormat="1" x14ac:dyDescent="0.25">
      <c r="A8" s="35">
        <v>45185</v>
      </c>
      <c r="B8" s="36" t="s">
        <v>3810</v>
      </c>
      <c r="C8" s="36">
        <v>8119119485</v>
      </c>
      <c r="D8" s="36" t="s">
        <v>3837</v>
      </c>
      <c r="E8" s="94">
        <v>2860</v>
      </c>
      <c r="F8" s="36" t="s">
        <v>3839</v>
      </c>
      <c r="J8" s="94">
        <v>7150</v>
      </c>
    </row>
    <row r="9" spans="1:13" x14ac:dyDescent="0.25">
      <c r="A9" s="96">
        <v>45188</v>
      </c>
      <c r="B9" s="9" t="s">
        <v>3812</v>
      </c>
      <c r="C9" s="9"/>
      <c r="D9" s="9" t="s">
        <v>3813</v>
      </c>
      <c r="E9" s="97">
        <v>2100</v>
      </c>
      <c r="F9" s="9" t="s">
        <v>3814</v>
      </c>
      <c r="G9" s="9"/>
      <c r="H9" s="9"/>
      <c r="I9" s="9"/>
      <c r="J9" s="97">
        <v>24000</v>
      </c>
      <c r="K9" s="9" t="s">
        <v>3948</v>
      </c>
      <c r="L9" s="9"/>
    </row>
    <row r="10" spans="1:13" x14ac:dyDescent="0.25">
      <c r="A10" s="35">
        <v>45199</v>
      </c>
      <c r="B10" s="36" t="s">
        <v>3824</v>
      </c>
      <c r="C10" s="36">
        <v>8116317360</v>
      </c>
      <c r="D10" s="36" t="s">
        <v>3953</v>
      </c>
      <c r="E10" s="94">
        <v>4800</v>
      </c>
      <c r="F10" s="36" t="s">
        <v>3951</v>
      </c>
      <c r="G10" s="36">
        <v>14200</v>
      </c>
      <c r="H10" s="36"/>
      <c r="I10" s="36"/>
      <c r="J10" s="94">
        <v>24000</v>
      </c>
      <c r="K10" s="36" t="s">
        <v>3979</v>
      </c>
    </row>
    <row r="11" spans="1:13" x14ac:dyDescent="0.25">
      <c r="A11" s="35">
        <v>45199</v>
      </c>
      <c r="B11" s="36" t="s">
        <v>3826</v>
      </c>
      <c r="C11" s="36">
        <v>8127267367</v>
      </c>
      <c r="D11" s="36" t="s">
        <v>3952</v>
      </c>
      <c r="E11" s="94">
        <v>5680</v>
      </c>
      <c r="F11" s="36" t="s">
        <v>3867</v>
      </c>
      <c r="G11" s="36" t="s">
        <v>3975</v>
      </c>
      <c r="H11" s="36" t="s">
        <v>4027</v>
      </c>
      <c r="I11" s="36"/>
      <c r="J11" s="94">
        <v>28400</v>
      </c>
      <c r="K11" s="36"/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4ED1-6C02-4143-8307-E6FFDC80E07F}">
  <dimension ref="A1:O17"/>
  <sheetViews>
    <sheetView workbookViewId="0">
      <selection activeCell="D7" sqref="D7"/>
    </sheetView>
  </sheetViews>
  <sheetFormatPr baseColWidth="10" defaultRowHeight="15" x14ac:dyDescent="0.25"/>
  <cols>
    <col min="1" max="1" width="14.140625" customWidth="1"/>
    <col min="2" max="2" width="27.28515625" customWidth="1"/>
    <col min="3" max="3" width="16.85546875" customWidth="1"/>
    <col min="4" max="4" width="44.7109375" customWidth="1"/>
    <col min="5" max="5" width="12" customWidth="1"/>
    <col min="6" max="6" width="12.140625" customWidth="1"/>
    <col min="14" max="14" width="12" customWidth="1"/>
  </cols>
  <sheetData>
    <row r="1" spans="1:15" x14ac:dyDescent="0.25">
      <c r="A1" s="118" t="s">
        <v>3173</v>
      </c>
      <c r="B1" s="118" t="s">
        <v>3174</v>
      </c>
      <c r="C1" s="119" t="s">
        <v>3399</v>
      </c>
      <c r="D1" s="118" t="s">
        <v>3613</v>
      </c>
      <c r="E1" s="120" t="s">
        <v>3176</v>
      </c>
      <c r="F1" s="118" t="s">
        <v>3226</v>
      </c>
      <c r="G1" s="118" t="s">
        <v>3178</v>
      </c>
      <c r="H1" s="118" t="s">
        <v>3228</v>
      </c>
      <c r="I1" s="118" t="s">
        <v>3229</v>
      </c>
      <c r="J1" s="118" t="s">
        <v>4093</v>
      </c>
      <c r="K1" s="118" t="s">
        <v>3542</v>
      </c>
      <c r="L1" s="118" t="s">
        <v>3756</v>
      </c>
      <c r="M1" s="120" t="s">
        <v>3181</v>
      </c>
      <c r="N1" s="118" t="s">
        <v>3317</v>
      </c>
      <c r="O1" s="118" t="s">
        <v>3390</v>
      </c>
    </row>
    <row r="2" spans="1:15" x14ac:dyDescent="0.25">
      <c r="A2" s="110">
        <v>45234</v>
      </c>
      <c r="B2" s="132" t="s">
        <v>3868</v>
      </c>
      <c r="C2" s="132">
        <v>8112710696</v>
      </c>
      <c r="D2" s="132" t="s">
        <v>3900</v>
      </c>
      <c r="E2" s="133">
        <v>11250</v>
      </c>
      <c r="F2" s="132" t="s">
        <v>3897</v>
      </c>
      <c r="G2" s="132" t="s">
        <v>3901</v>
      </c>
      <c r="H2" s="132"/>
      <c r="I2" s="132"/>
      <c r="J2" s="132"/>
      <c r="K2" s="132"/>
      <c r="L2" s="132"/>
      <c r="M2" s="133">
        <v>22500</v>
      </c>
      <c r="N2" s="132"/>
      <c r="O2" s="152"/>
    </row>
    <row r="3" spans="1:15" x14ac:dyDescent="0.25">
      <c r="A3" s="149">
        <v>45236</v>
      </c>
      <c r="B3" s="150" t="s">
        <v>3869</v>
      </c>
      <c r="C3" s="150">
        <v>8117939277</v>
      </c>
      <c r="D3" s="150" t="s">
        <v>3870</v>
      </c>
      <c r="E3" s="151">
        <v>4320</v>
      </c>
      <c r="F3" s="150" t="s">
        <v>3978</v>
      </c>
      <c r="G3" s="150" t="s">
        <v>4054</v>
      </c>
      <c r="H3" s="150" t="s">
        <v>4085</v>
      </c>
      <c r="I3" s="150"/>
      <c r="J3" s="150"/>
      <c r="K3" s="150"/>
      <c r="L3" s="150"/>
      <c r="M3" s="151">
        <v>21600</v>
      </c>
      <c r="N3" s="150"/>
      <c r="O3" s="132" t="s">
        <v>3949</v>
      </c>
    </row>
    <row r="4" spans="1:15" x14ac:dyDescent="0.25">
      <c r="A4" s="110">
        <v>45237</v>
      </c>
      <c r="B4" s="132" t="s">
        <v>3871</v>
      </c>
      <c r="C4" s="132"/>
      <c r="D4" s="132" t="s">
        <v>3902</v>
      </c>
      <c r="E4" s="133">
        <v>2790</v>
      </c>
      <c r="F4" s="132" t="s">
        <v>3936</v>
      </c>
      <c r="G4" s="132" t="s">
        <v>3903</v>
      </c>
      <c r="H4" s="132"/>
      <c r="I4" s="132"/>
      <c r="J4" s="132"/>
      <c r="K4" s="132"/>
      <c r="L4" s="132"/>
      <c r="M4" s="133">
        <v>15650</v>
      </c>
      <c r="N4" s="132"/>
      <c r="O4" s="132"/>
    </row>
    <row r="5" spans="1:15" x14ac:dyDescent="0.25">
      <c r="A5" s="149">
        <v>45239</v>
      </c>
      <c r="B5" s="150" t="s">
        <v>4042</v>
      </c>
      <c r="C5" s="150">
        <v>8180521717</v>
      </c>
      <c r="D5" s="150" t="s">
        <v>3872</v>
      </c>
      <c r="E5" s="151">
        <v>2100</v>
      </c>
      <c r="F5" s="150" t="s">
        <v>3935</v>
      </c>
      <c r="G5" s="150" t="s">
        <v>4007</v>
      </c>
      <c r="H5" s="150" t="s">
        <v>4043</v>
      </c>
      <c r="I5" s="150" t="s">
        <v>4074</v>
      </c>
      <c r="J5" s="150"/>
      <c r="K5" s="150"/>
      <c r="L5" s="150"/>
      <c r="M5" s="151">
        <v>10500</v>
      </c>
      <c r="N5" s="150"/>
      <c r="O5" s="132"/>
    </row>
    <row r="6" spans="1:15" x14ac:dyDescent="0.25">
      <c r="A6" s="154">
        <v>45241</v>
      </c>
      <c r="B6" s="130" t="s">
        <v>3877</v>
      </c>
      <c r="C6" s="130">
        <v>8124122112</v>
      </c>
      <c r="D6" s="130" t="s">
        <v>3878</v>
      </c>
      <c r="E6" s="131">
        <v>5000</v>
      </c>
      <c r="F6" s="130" t="s">
        <v>3942</v>
      </c>
      <c r="G6" s="130" t="s">
        <v>4139</v>
      </c>
      <c r="H6" s="130"/>
      <c r="I6" s="130"/>
      <c r="J6" s="130"/>
      <c r="K6" s="130"/>
      <c r="L6" s="130"/>
      <c r="M6" s="131">
        <v>19100</v>
      </c>
      <c r="N6" s="130"/>
      <c r="O6" s="132"/>
    </row>
    <row r="7" spans="1:15" x14ac:dyDescent="0.25">
      <c r="A7" s="48" t="s">
        <v>4095</v>
      </c>
      <c r="B7" s="130" t="s">
        <v>3881</v>
      </c>
      <c r="C7" s="130">
        <v>8180867027</v>
      </c>
      <c r="D7" s="130" t="s">
        <v>3895</v>
      </c>
      <c r="E7" s="131">
        <v>3000</v>
      </c>
      <c r="F7" s="130" t="s">
        <v>3896</v>
      </c>
      <c r="G7" s="130" t="s">
        <v>3939</v>
      </c>
      <c r="H7" s="130" t="s">
        <v>3973</v>
      </c>
      <c r="I7" s="130" t="s">
        <v>3996</v>
      </c>
      <c r="J7" s="130" t="s">
        <v>4094</v>
      </c>
      <c r="K7" s="130"/>
      <c r="L7" s="130"/>
      <c r="M7" s="131">
        <v>33566</v>
      </c>
      <c r="N7" s="130"/>
      <c r="O7" s="132"/>
    </row>
    <row r="8" spans="1:15" x14ac:dyDescent="0.25">
      <c r="A8" s="48">
        <v>45245</v>
      </c>
      <c r="B8" s="130" t="s">
        <v>3882</v>
      </c>
      <c r="C8" s="130">
        <v>8131234008</v>
      </c>
      <c r="D8" s="130" t="s">
        <v>3883</v>
      </c>
      <c r="E8" s="131">
        <v>2000</v>
      </c>
      <c r="F8" s="130" t="s">
        <v>3891</v>
      </c>
      <c r="G8" s="130" t="s">
        <v>2196</v>
      </c>
      <c r="H8" s="130"/>
      <c r="I8" s="130"/>
      <c r="J8" s="130"/>
      <c r="K8" s="130"/>
      <c r="L8" s="130"/>
      <c r="M8" s="131">
        <v>8100</v>
      </c>
      <c r="N8" s="130"/>
      <c r="O8" s="132"/>
    </row>
    <row r="9" spans="1:15" x14ac:dyDescent="0.25">
      <c r="A9" s="48">
        <v>45245</v>
      </c>
      <c r="B9" s="130" t="s">
        <v>3884</v>
      </c>
      <c r="C9" s="130">
        <v>8111780227</v>
      </c>
      <c r="D9" s="130" t="s">
        <v>1118</v>
      </c>
      <c r="E9" s="131">
        <v>1000</v>
      </c>
      <c r="F9" s="130" t="s">
        <v>3899</v>
      </c>
      <c r="G9" s="130" t="s">
        <v>3974</v>
      </c>
      <c r="H9" s="130" t="s">
        <v>4075</v>
      </c>
      <c r="I9" s="130" t="s">
        <v>4076</v>
      </c>
      <c r="J9" s="130"/>
      <c r="K9" s="130"/>
      <c r="L9" s="130"/>
      <c r="M9" s="131">
        <v>12150</v>
      </c>
      <c r="N9" s="130"/>
      <c r="O9" s="132"/>
    </row>
    <row r="10" spans="1:15" x14ac:dyDescent="0.25">
      <c r="A10" s="48">
        <v>45248</v>
      </c>
      <c r="B10" s="130" t="s">
        <v>3006</v>
      </c>
      <c r="C10" s="130">
        <v>8971021789</v>
      </c>
      <c r="D10" s="130" t="s">
        <v>3885</v>
      </c>
      <c r="E10" s="131">
        <v>3000</v>
      </c>
      <c r="F10" s="130" t="s">
        <v>1009</v>
      </c>
      <c r="G10" s="130" t="s">
        <v>1078</v>
      </c>
      <c r="H10" s="130" t="s">
        <v>4045</v>
      </c>
      <c r="I10" s="130" t="s">
        <v>4112</v>
      </c>
      <c r="J10" s="130"/>
      <c r="K10" s="130"/>
      <c r="L10" s="130"/>
      <c r="M10" s="131">
        <v>10900</v>
      </c>
      <c r="N10" s="130"/>
      <c r="O10" s="132"/>
    </row>
    <row r="11" spans="1:15" x14ac:dyDescent="0.25">
      <c r="A11" s="48">
        <v>45248</v>
      </c>
      <c r="B11" s="130" t="s">
        <v>3886</v>
      </c>
      <c r="C11" s="130">
        <v>8114984666</v>
      </c>
      <c r="D11" s="130" t="s">
        <v>3887</v>
      </c>
      <c r="E11" s="131">
        <v>9880</v>
      </c>
      <c r="F11" s="130" t="s">
        <v>3945</v>
      </c>
      <c r="G11" s="130" t="s">
        <v>3958</v>
      </c>
      <c r="H11" s="130">
        <v>3705</v>
      </c>
      <c r="I11" s="130" t="s">
        <v>4073</v>
      </c>
      <c r="J11" s="130"/>
      <c r="K11" s="130"/>
      <c r="L11" s="130"/>
      <c r="M11" s="131">
        <v>24700</v>
      </c>
      <c r="N11" s="130"/>
      <c r="O11" s="132"/>
    </row>
    <row r="12" spans="1:15" x14ac:dyDescent="0.25">
      <c r="A12" s="48">
        <v>45251</v>
      </c>
      <c r="B12" s="130" t="s">
        <v>4171</v>
      </c>
      <c r="C12" s="130">
        <v>8125223428</v>
      </c>
      <c r="D12" s="130" t="s">
        <v>4384</v>
      </c>
      <c r="E12" s="131">
        <v>3420</v>
      </c>
      <c r="F12" s="130" t="s">
        <v>3962</v>
      </c>
      <c r="G12" s="130" t="s">
        <v>3987</v>
      </c>
      <c r="H12" s="130" t="s">
        <v>4046</v>
      </c>
      <c r="I12" s="130" t="s">
        <v>4110</v>
      </c>
      <c r="J12" s="130" t="s">
        <v>4172</v>
      </c>
      <c r="K12" s="130" t="s">
        <v>4383</v>
      </c>
      <c r="L12" s="130"/>
      <c r="M12" s="131">
        <v>20700</v>
      </c>
      <c r="N12" s="130"/>
      <c r="O12" s="130"/>
    </row>
    <row r="17" spans="4:4" x14ac:dyDescent="0.25">
      <c r="D17" t="s">
        <v>4060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9529-E061-4C4F-B5B3-86E65570DA9E}">
  <dimension ref="A1:L5"/>
  <sheetViews>
    <sheetView workbookViewId="0">
      <selection activeCell="A2" sqref="A2:L8"/>
    </sheetView>
  </sheetViews>
  <sheetFormatPr baseColWidth="10" defaultRowHeight="15" x14ac:dyDescent="0.25"/>
  <cols>
    <col min="1" max="1" width="8.7109375" customWidth="1"/>
    <col min="2" max="2" width="15.42578125" customWidth="1"/>
    <col min="3" max="3" width="15.140625" style="116" customWidth="1"/>
    <col min="4" max="4" width="65" customWidth="1"/>
    <col min="5" max="5" width="12" style="91" customWidth="1"/>
    <col min="6" max="10" width="12" customWidth="1"/>
    <col min="11" max="11" width="13" style="91" customWidth="1"/>
  </cols>
  <sheetData>
    <row r="1" spans="1:12" x14ac:dyDescent="0.25">
      <c r="A1" t="s">
        <v>3173</v>
      </c>
      <c r="B1" t="s">
        <v>3174</v>
      </c>
      <c r="C1" s="116" t="s">
        <v>3399</v>
      </c>
      <c r="D1" t="s">
        <v>3613</v>
      </c>
      <c r="E1" s="91" t="s">
        <v>3176</v>
      </c>
      <c r="F1" t="s">
        <v>3226</v>
      </c>
      <c r="G1" t="s">
        <v>3178</v>
      </c>
      <c r="H1" t="s">
        <v>111</v>
      </c>
      <c r="I1" t="s">
        <v>3229</v>
      </c>
      <c r="J1" t="s">
        <v>3542</v>
      </c>
      <c r="K1" s="91" t="s">
        <v>3181</v>
      </c>
      <c r="L1" t="s">
        <v>3317</v>
      </c>
    </row>
    <row r="2" spans="1:12" ht="24.75" customHeight="1" x14ac:dyDescent="0.25">
      <c r="A2" s="35">
        <v>45219</v>
      </c>
      <c r="B2" s="36" t="s">
        <v>3842</v>
      </c>
      <c r="C2" s="36">
        <v>8110809539</v>
      </c>
      <c r="D2" s="36" t="s">
        <v>4005</v>
      </c>
      <c r="E2" s="94">
        <v>13520</v>
      </c>
      <c r="F2" s="36" t="s">
        <v>3879</v>
      </c>
      <c r="G2" s="36" t="s">
        <v>3934</v>
      </c>
      <c r="H2" s="36" t="s">
        <v>3983</v>
      </c>
      <c r="I2" s="36" t="s">
        <v>4006</v>
      </c>
      <c r="J2" s="36"/>
      <c r="K2" s="94">
        <v>33800</v>
      </c>
      <c r="L2" s="36"/>
    </row>
    <row r="3" spans="1:12" ht="18.75" customHeight="1" x14ac:dyDescent="0.25">
      <c r="A3" s="35">
        <v>45220</v>
      </c>
      <c r="B3" s="36" t="s">
        <v>3848</v>
      </c>
      <c r="C3" s="36">
        <v>8131136245</v>
      </c>
      <c r="D3" s="36" t="s">
        <v>3855</v>
      </c>
      <c r="E3" s="94">
        <v>1520</v>
      </c>
      <c r="F3" s="36" t="s">
        <v>3947</v>
      </c>
      <c r="G3" s="36"/>
      <c r="H3" s="36"/>
      <c r="I3" s="36"/>
      <c r="J3" s="36"/>
      <c r="K3" s="94">
        <v>3800</v>
      </c>
      <c r="L3" s="36" t="s">
        <v>2660</v>
      </c>
    </row>
    <row r="4" spans="1:12" x14ac:dyDescent="0.25">
      <c r="A4" s="35">
        <v>45222</v>
      </c>
      <c r="B4" s="36" t="s">
        <v>3849</v>
      </c>
      <c r="C4" s="36">
        <v>8781195790</v>
      </c>
      <c r="D4" s="36" t="s">
        <v>3925</v>
      </c>
      <c r="E4" s="94">
        <v>5500</v>
      </c>
      <c r="F4" s="36" t="s">
        <v>3894</v>
      </c>
      <c r="G4" s="36" t="s">
        <v>3926</v>
      </c>
      <c r="H4" s="36" t="s">
        <v>3937</v>
      </c>
      <c r="I4" s="36" t="s">
        <v>3977</v>
      </c>
      <c r="J4" s="36" t="s">
        <v>4036</v>
      </c>
      <c r="K4" s="94">
        <v>31000</v>
      </c>
    </row>
    <row r="5" spans="1:12" x14ac:dyDescent="0.25">
      <c r="A5" s="35">
        <v>45225</v>
      </c>
      <c r="B5" s="36" t="s">
        <v>3856</v>
      </c>
      <c r="C5" s="36">
        <v>8110160355</v>
      </c>
      <c r="D5" s="36" t="s">
        <v>3857</v>
      </c>
      <c r="E5" s="94">
        <v>8540</v>
      </c>
      <c r="F5" s="36" t="s">
        <v>3997</v>
      </c>
      <c r="G5" s="36"/>
      <c r="H5" s="36"/>
      <c r="I5" s="36"/>
      <c r="J5" s="36"/>
      <c r="K5" s="94">
        <v>21600</v>
      </c>
      <c r="L5" s="36" t="s">
        <v>2660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A96B-E0E5-4858-AE5E-D0AE6C3258A1}">
  <dimension ref="A1:Q14"/>
  <sheetViews>
    <sheetView topLeftCell="A4" zoomScale="106" zoomScaleNormal="106" workbookViewId="0">
      <selection activeCell="B8" sqref="B8"/>
    </sheetView>
  </sheetViews>
  <sheetFormatPr baseColWidth="10" defaultRowHeight="15" x14ac:dyDescent="0.25"/>
  <cols>
    <col min="1" max="1" width="12" customWidth="1"/>
    <col min="2" max="2" width="27.42578125" customWidth="1"/>
    <col min="3" max="3" width="14.5703125" customWidth="1"/>
    <col min="4" max="4" width="48.7109375" customWidth="1"/>
    <col min="5" max="15" width="12" customWidth="1"/>
    <col min="16" max="16" width="13" customWidth="1"/>
  </cols>
  <sheetData>
    <row r="1" spans="1:17" x14ac:dyDescent="0.25">
      <c r="A1" t="s">
        <v>3317</v>
      </c>
      <c r="B1" t="s">
        <v>3390</v>
      </c>
      <c r="C1" t="s">
        <v>3455</v>
      </c>
      <c r="D1" t="s">
        <v>3457</v>
      </c>
      <c r="E1" t="s">
        <v>3910</v>
      </c>
      <c r="F1" t="s">
        <v>3911</v>
      </c>
      <c r="G1" t="s">
        <v>3912</v>
      </c>
      <c r="H1" t="s">
        <v>3913</v>
      </c>
      <c r="I1" t="s">
        <v>3914</v>
      </c>
      <c r="J1" t="s">
        <v>4148</v>
      </c>
      <c r="K1" t="s">
        <v>4205</v>
      </c>
      <c r="L1" t="s">
        <v>4272</v>
      </c>
      <c r="M1" t="s">
        <v>4322</v>
      </c>
      <c r="N1" t="s">
        <v>4346</v>
      </c>
      <c r="O1" t="s">
        <v>4373</v>
      </c>
      <c r="P1" t="s">
        <v>3915</v>
      </c>
      <c r="Q1" t="s">
        <v>3992</v>
      </c>
    </row>
    <row r="2" spans="1:17" x14ac:dyDescent="0.25">
      <c r="A2" t="s">
        <v>9</v>
      </c>
      <c r="B2" t="s">
        <v>0</v>
      </c>
      <c r="C2" t="s">
        <v>271</v>
      </c>
      <c r="D2" t="s">
        <v>3904</v>
      </c>
      <c r="E2" t="s">
        <v>3905</v>
      </c>
      <c r="F2" t="s">
        <v>3906</v>
      </c>
      <c r="G2" t="s">
        <v>3907</v>
      </c>
      <c r="H2" t="s">
        <v>3908</v>
      </c>
      <c r="I2" t="s">
        <v>3909</v>
      </c>
      <c r="P2" t="s">
        <v>270</v>
      </c>
    </row>
    <row r="3" spans="1:17" x14ac:dyDescent="0.25">
      <c r="A3" s="35">
        <v>45262</v>
      </c>
      <c r="B3" s="36" t="s">
        <v>3916</v>
      </c>
      <c r="C3" s="36">
        <v>8116645236</v>
      </c>
      <c r="D3" s="36" t="s">
        <v>3917</v>
      </c>
      <c r="E3" s="36">
        <v>2790</v>
      </c>
      <c r="F3" s="36" t="s">
        <v>3950</v>
      </c>
      <c r="G3" s="36" t="s">
        <v>4021</v>
      </c>
      <c r="H3" s="36" t="s">
        <v>4086</v>
      </c>
      <c r="I3" s="36" t="s">
        <v>4183</v>
      </c>
      <c r="J3" s="36"/>
      <c r="K3" s="36"/>
      <c r="L3" s="36"/>
      <c r="M3" s="36"/>
      <c r="N3" s="36"/>
      <c r="O3" s="36"/>
      <c r="P3" s="36" t="s">
        <v>4176</v>
      </c>
      <c r="Q3" s="36"/>
    </row>
    <row r="4" spans="1:17" x14ac:dyDescent="0.25">
      <c r="A4" s="35">
        <v>45262</v>
      </c>
      <c r="B4" s="36" t="s">
        <v>3918</v>
      </c>
      <c r="C4" s="36">
        <v>8129404977</v>
      </c>
      <c r="D4" s="36" t="s">
        <v>3919</v>
      </c>
      <c r="E4" s="36">
        <v>10000</v>
      </c>
      <c r="F4" s="36" t="s">
        <v>3966</v>
      </c>
      <c r="G4" s="36" t="s">
        <v>4192</v>
      </c>
      <c r="H4" s="36" t="s">
        <v>4288</v>
      </c>
      <c r="I4" s="36"/>
      <c r="J4" s="36"/>
      <c r="K4" s="36"/>
      <c r="L4" s="36"/>
      <c r="M4" s="36"/>
      <c r="N4" s="36"/>
      <c r="O4" s="36"/>
      <c r="P4" s="36">
        <v>30000</v>
      </c>
      <c r="Q4" s="36" t="s">
        <v>4132</v>
      </c>
    </row>
    <row r="5" spans="1:17" x14ac:dyDescent="0.25">
      <c r="A5" s="35">
        <v>45264</v>
      </c>
      <c r="B5" s="36" t="s">
        <v>3922</v>
      </c>
      <c r="C5" s="36">
        <v>8126282229</v>
      </c>
      <c r="D5" s="36" t="s">
        <v>4081</v>
      </c>
      <c r="E5" s="36">
        <v>5000</v>
      </c>
      <c r="F5" s="36" t="s">
        <v>3951</v>
      </c>
      <c r="G5" s="36" t="s">
        <v>4020</v>
      </c>
      <c r="H5" s="36" t="s">
        <v>4082</v>
      </c>
      <c r="I5" s="36"/>
      <c r="J5" s="36" t="s">
        <v>4149</v>
      </c>
      <c r="K5" s="36"/>
      <c r="L5" s="36"/>
      <c r="M5" s="36"/>
      <c r="N5" s="36"/>
      <c r="O5" s="36"/>
      <c r="P5" s="36">
        <v>19450</v>
      </c>
      <c r="Q5" s="36"/>
    </row>
    <row r="6" spans="1:17" x14ac:dyDescent="0.25">
      <c r="A6" s="35">
        <v>45264</v>
      </c>
      <c r="B6" s="36" t="s">
        <v>3923</v>
      </c>
      <c r="C6" s="36">
        <v>8121207633</v>
      </c>
      <c r="D6" s="36" t="s">
        <v>3924</v>
      </c>
      <c r="E6" s="36">
        <v>6240</v>
      </c>
      <c r="F6" s="36" t="s">
        <v>3964</v>
      </c>
      <c r="G6" s="36" t="s">
        <v>4019</v>
      </c>
      <c r="H6" s="36" t="s">
        <v>4087</v>
      </c>
      <c r="I6" s="36" t="s">
        <v>4135</v>
      </c>
      <c r="J6" s="36" t="s">
        <v>4209</v>
      </c>
      <c r="K6" s="36"/>
      <c r="L6" s="36"/>
      <c r="M6" s="36"/>
      <c r="N6" s="36"/>
      <c r="O6" s="36"/>
      <c r="P6" s="36">
        <v>31500</v>
      </c>
      <c r="Q6" s="36"/>
    </row>
    <row r="7" spans="1:17" x14ac:dyDescent="0.25">
      <c r="A7" s="48">
        <v>45269</v>
      </c>
      <c r="B7" s="36" t="s">
        <v>4177</v>
      </c>
      <c r="C7" s="36">
        <v>8133948469</v>
      </c>
      <c r="D7" s="36" t="s">
        <v>3929</v>
      </c>
      <c r="E7" s="36">
        <v>5340</v>
      </c>
      <c r="F7" s="36" t="s">
        <v>3954</v>
      </c>
      <c r="G7" s="36" t="s">
        <v>4026</v>
      </c>
      <c r="H7" s="36" t="s">
        <v>4090</v>
      </c>
      <c r="I7" s="36"/>
      <c r="J7" s="36" t="s">
        <v>4160</v>
      </c>
      <c r="K7" s="36" t="s">
        <v>4206</v>
      </c>
      <c r="L7" s="36" t="s">
        <v>4273</v>
      </c>
      <c r="M7" s="36" t="s">
        <v>4323</v>
      </c>
      <c r="N7" s="36" t="s">
        <v>4367</v>
      </c>
      <c r="O7" s="36" t="s">
        <v>4426</v>
      </c>
      <c r="P7" s="36">
        <v>26700</v>
      </c>
    </row>
    <row r="8" spans="1:17" x14ac:dyDescent="0.25">
      <c r="A8" s="35">
        <v>45269</v>
      </c>
      <c r="B8" s="36" t="s">
        <v>3930</v>
      </c>
      <c r="C8" s="36">
        <v>4831187681</v>
      </c>
      <c r="D8" s="36" t="s">
        <v>3931</v>
      </c>
      <c r="E8" s="36">
        <v>2790</v>
      </c>
      <c r="F8" s="36" t="s">
        <v>3955</v>
      </c>
      <c r="G8" s="36" t="s">
        <v>4023</v>
      </c>
      <c r="H8" s="159" t="s">
        <v>4388</v>
      </c>
      <c r="I8" s="36" t="s">
        <v>4162</v>
      </c>
      <c r="J8" s="36"/>
      <c r="K8" s="36"/>
      <c r="L8" s="36"/>
      <c r="M8" s="36"/>
      <c r="N8" s="36"/>
      <c r="O8" s="36"/>
      <c r="P8" s="36">
        <v>13950</v>
      </c>
    </row>
    <row r="9" spans="1:17" x14ac:dyDescent="0.25">
      <c r="A9" s="35">
        <v>45269</v>
      </c>
      <c r="B9" s="36" t="s">
        <v>3932</v>
      </c>
      <c r="C9" s="36"/>
      <c r="D9" s="36" t="s">
        <v>4032</v>
      </c>
      <c r="E9" s="36">
        <v>5200</v>
      </c>
      <c r="F9" s="36" t="s">
        <v>3956</v>
      </c>
      <c r="G9" s="36" t="s">
        <v>4031</v>
      </c>
      <c r="H9" s="36" t="s">
        <v>4077</v>
      </c>
      <c r="I9" s="36"/>
      <c r="J9" s="36"/>
      <c r="K9" s="36"/>
      <c r="L9" s="36"/>
      <c r="M9" s="36"/>
      <c r="N9" s="36"/>
      <c r="O9" s="36"/>
      <c r="P9" s="36">
        <v>30500</v>
      </c>
    </row>
    <row r="10" spans="1:17" x14ac:dyDescent="0.25">
      <c r="A10" s="35">
        <v>45276</v>
      </c>
      <c r="B10" s="36" t="s">
        <v>3941</v>
      </c>
      <c r="C10" s="36">
        <v>8448081903</v>
      </c>
      <c r="D10" s="36" t="s">
        <v>4379</v>
      </c>
      <c r="E10" s="36">
        <v>5000</v>
      </c>
      <c r="F10" s="36" t="s">
        <v>3980</v>
      </c>
      <c r="G10" s="36" t="s">
        <v>4040</v>
      </c>
      <c r="H10" s="36" t="s">
        <v>4152</v>
      </c>
      <c r="I10" s="36" t="s">
        <v>4252</v>
      </c>
      <c r="J10" s="36" t="s">
        <v>4354</v>
      </c>
      <c r="K10" s="36" t="s">
        <v>4380</v>
      </c>
      <c r="L10" s="36"/>
      <c r="M10" s="36"/>
      <c r="N10" s="36"/>
      <c r="O10" s="36"/>
      <c r="P10" s="36">
        <v>18600</v>
      </c>
      <c r="Q10" s="36"/>
    </row>
    <row r="11" spans="1:17" x14ac:dyDescent="0.25">
      <c r="A11" s="96">
        <v>45276</v>
      </c>
      <c r="B11" s="9" t="s">
        <v>3943</v>
      </c>
      <c r="C11" s="9">
        <v>8119241220</v>
      </c>
      <c r="D11" s="9" t="s">
        <v>3944</v>
      </c>
      <c r="E11" s="9">
        <v>2000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>
        <v>3500</v>
      </c>
      <c r="Q11" s="9"/>
    </row>
    <row r="12" spans="1:17" x14ac:dyDescent="0.25">
      <c r="A12" s="35">
        <v>45649</v>
      </c>
      <c r="B12" s="36" t="s">
        <v>3959</v>
      </c>
      <c r="C12" s="36">
        <v>8180994014</v>
      </c>
      <c r="D12" s="36" t="s">
        <v>4247</v>
      </c>
      <c r="E12" s="36">
        <v>4400</v>
      </c>
      <c r="F12" s="36" t="s">
        <v>3986</v>
      </c>
      <c r="G12" s="36" t="s">
        <v>4047</v>
      </c>
      <c r="H12" s="36" t="s">
        <v>4119</v>
      </c>
      <c r="I12" s="36" t="s">
        <v>4184</v>
      </c>
      <c r="J12" s="36">
        <v>700</v>
      </c>
      <c r="K12" s="36"/>
      <c r="L12" s="36"/>
      <c r="M12" s="36"/>
      <c r="N12" s="36"/>
      <c r="O12" s="36"/>
      <c r="P12" s="36">
        <v>22300</v>
      </c>
      <c r="Q12" s="36" t="s">
        <v>4248</v>
      </c>
    </row>
    <row r="13" spans="1:17" x14ac:dyDescent="0.25">
      <c r="A13" s="35">
        <v>45649</v>
      </c>
      <c r="B13" s="36" t="s">
        <v>3960</v>
      </c>
      <c r="C13" s="36"/>
      <c r="D13" s="36" t="s">
        <v>4275</v>
      </c>
      <c r="E13" s="36">
        <v>4160</v>
      </c>
      <c r="F13" s="36" t="s">
        <v>4055</v>
      </c>
      <c r="G13" s="36" t="s">
        <v>4033</v>
      </c>
      <c r="H13" s="36" t="s">
        <v>4133</v>
      </c>
      <c r="I13" s="36" t="s">
        <v>4161</v>
      </c>
      <c r="J13" s="36" t="s">
        <v>4220</v>
      </c>
      <c r="K13" s="36" t="s">
        <v>4276</v>
      </c>
      <c r="L13" s="36" t="s">
        <v>4347</v>
      </c>
      <c r="M13" s="36" t="s">
        <v>4348</v>
      </c>
      <c r="N13" s="35" t="s">
        <v>4349</v>
      </c>
      <c r="O13" s="35" t="s">
        <v>4374</v>
      </c>
      <c r="P13" s="36">
        <v>24300</v>
      </c>
      <c r="Q13" s="36"/>
    </row>
    <row r="14" spans="1:17" x14ac:dyDescent="0.25">
      <c r="G14" t="s">
        <v>3957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EC97-6A12-480A-BAED-E43A9692E280}">
  <dimension ref="A1:N21"/>
  <sheetViews>
    <sheetView workbookViewId="0">
      <selection activeCell="D13" sqref="D13"/>
    </sheetView>
  </sheetViews>
  <sheetFormatPr baseColWidth="10" defaultRowHeight="15" x14ac:dyDescent="0.25"/>
  <cols>
    <col min="1" max="1" width="11.85546875" customWidth="1"/>
    <col min="2" max="2" width="26.28515625" customWidth="1"/>
    <col min="3" max="3" width="12" customWidth="1"/>
    <col min="4" max="4" width="43.7109375" customWidth="1"/>
    <col min="5" max="12" width="12" customWidth="1"/>
    <col min="13" max="13" width="13" customWidth="1"/>
  </cols>
  <sheetData>
    <row r="1" spans="1:14" x14ac:dyDescent="0.25">
      <c r="A1" s="138" t="s">
        <v>3317</v>
      </c>
      <c r="B1" s="139" t="s">
        <v>3390</v>
      </c>
      <c r="C1" s="139" t="s">
        <v>3455</v>
      </c>
      <c r="D1" s="139" t="s">
        <v>3457</v>
      </c>
      <c r="E1" s="139" t="s">
        <v>3910</v>
      </c>
      <c r="F1" s="139" t="s">
        <v>3911</v>
      </c>
      <c r="G1" s="139" t="s">
        <v>3912</v>
      </c>
      <c r="H1" s="139" t="s">
        <v>3913</v>
      </c>
      <c r="I1" s="139" t="s">
        <v>3914</v>
      </c>
      <c r="J1" s="140" t="s">
        <v>4148</v>
      </c>
      <c r="K1" s="140" t="s">
        <v>4205</v>
      </c>
      <c r="L1" s="140" t="s">
        <v>4272</v>
      </c>
      <c r="M1" s="140" t="s">
        <v>3915</v>
      </c>
      <c r="N1" s="139" t="s">
        <v>3992</v>
      </c>
    </row>
    <row r="2" spans="1:14" x14ac:dyDescent="0.25">
      <c r="A2" s="135" t="s">
        <v>9</v>
      </c>
      <c r="B2" s="136" t="s">
        <v>0</v>
      </c>
      <c r="C2" s="136" t="s">
        <v>271</v>
      </c>
      <c r="D2" s="136" t="s">
        <v>3904</v>
      </c>
      <c r="E2" s="136" t="s">
        <v>3905</v>
      </c>
      <c r="F2" s="136" t="s">
        <v>3906</v>
      </c>
      <c r="G2" s="136" t="s">
        <v>3907</v>
      </c>
      <c r="H2" s="136" t="s">
        <v>3908</v>
      </c>
      <c r="I2" s="136" t="s">
        <v>3909</v>
      </c>
      <c r="J2" s="137"/>
      <c r="K2" s="137"/>
      <c r="L2" s="137"/>
      <c r="M2" s="137" t="s">
        <v>270</v>
      </c>
      <c r="N2" s="134"/>
    </row>
    <row r="3" spans="1:14" x14ac:dyDescent="0.25">
      <c r="A3" s="144">
        <v>45295</v>
      </c>
      <c r="B3" s="145" t="s">
        <v>3961</v>
      </c>
      <c r="C3" s="145"/>
      <c r="D3" s="145" t="s">
        <v>3963</v>
      </c>
      <c r="E3" s="145">
        <v>5000</v>
      </c>
      <c r="F3" s="145" t="s">
        <v>4022</v>
      </c>
      <c r="G3" s="145" t="s">
        <v>4134</v>
      </c>
      <c r="H3" s="145" t="s">
        <v>4298</v>
      </c>
      <c r="I3" s="145" t="s">
        <v>4428</v>
      </c>
      <c r="J3" s="146"/>
      <c r="K3" s="146"/>
      <c r="L3" s="146"/>
      <c r="M3" s="146">
        <v>25000</v>
      </c>
      <c r="N3" s="134"/>
    </row>
    <row r="4" spans="1:14" x14ac:dyDescent="0.25">
      <c r="A4" s="144">
        <v>45296</v>
      </c>
      <c r="B4" s="145" t="s">
        <v>3965</v>
      </c>
      <c r="C4" s="145"/>
      <c r="D4" s="145" t="s">
        <v>4056</v>
      </c>
      <c r="E4" s="145">
        <v>7000</v>
      </c>
      <c r="F4" s="145" t="s">
        <v>3993</v>
      </c>
      <c r="G4" s="145" t="s">
        <v>4057</v>
      </c>
      <c r="H4" s="145"/>
      <c r="I4" s="145"/>
      <c r="J4" s="146"/>
      <c r="K4" s="146"/>
      <c r="L4" s="146"/>
      <c r="M4" s="146">
        <v>31500</v>
      </c>
      <c r="N4" s="124"/>
    </row>
    <row r="5" spans="1:14" x14ac:dyDescent="0.25">
      <c r="A5" s="144">
        <v>45301</v>
      </c>
      <c r="B5" s="145" t="s">
        <v>3967</v>
      </c>
      <c r="C5" s="145"/>
      <c r="D5" s="145" t="s">
        <v>4069</v>
      </c>
      <c r="E5" s="145">
        <v>5000</v>
      </c>
      <c r="F5" s="145" t="s">
        <v>4025</v>
      </c>
      <c r="G5" s="145" t="s">
        <v>4070</v>
      </c>
      <c r="H5" s="145" t="s">
        <v>4165</v>
      </c>
      <c r="I5" s="145"/>
      <c r="J5" s="146"/>
      <c r="K5" s="146"/>
      <c r="L5" s="146"/>
      <c r="M5" s="146">
        <v>24100</v>
      </c>
      <c r="N5" s="124"/>
    </row>
    <row r="6" spans="1:14" x14ac:dyDescent="0.25">
      <c r="A6" s="144">
        <v>45303</v>
      </c>
      <c r="B6" s="145" t="s">
        <v>3998</v>
      </c>
      <c r="C6" s="145"/>
      <c r="D6" s="145" t="s">
        <v>3999</v>
      </c>
      <c r="E6" s="145">
        <v>6000</v>
      </c>
      <c r="F6" s="145" t="s">
        <v>4039</v>
      </c>
      <c r="G6" s="145">
        <v>7500</v>
      </c>
      <c r="H6" s="145"/>
      <c r="I6" s="145"/>
      <c r="J6" s="146"/>
      <c r="K6" s="146"/>
      <c r="L6" s="146"/>
      <c r="M6" s="146">
        <v>30000</v>
      </c>
      <c r="N6" s="124"/>
    </row>
    <row r="7" spans="1:14" x14ac:dyDescent="0.25">
      <c r="A7" s="144">
        <v>45304</v>
      </c>
      <c r="B7" s="145" t="s">
        <v>3969</v>
      </c>
      <c r="C7" s="145"/>
      <c r="D7" s="145" t="s">
        <v>3970</v>
      </c>
      <c r="E7" s="145">
        <v>4440</v>
      </c>
      <c r="F7" s="145" t="s">
        <v>4030</v>
      </c>
      <c r="G7" s="145" t="s">
        <v>4099</v>
      </c>
      <c r="H7" s="145" t="s">
        <v>4166</v>
      </c>
      <c r="I7" s="145" t="s">
        <v>4215</v>
      </c>
      <c r="J7" s="146"/>
      <c r="K7" s="146"/>
      <c r="L7" s="146"/>
      <c r="M7" s="146">
        <v>22200</v>
      </c>
      <c r="N7" s="124"/>
    </row>
    <row r="8" spans="1:14" x14ac:dyDescent="0.25">
      <c r="A8" s="144">
        <v>45304</v>
      </c>
      <c r="B8" s="145" t="s">
        <v>3971</v>
      </c>
      <c r="C8" s="145"/>
      <c r="D8" s="145" t="s">
        <v>3972</v>
      </c>
      <c r="E8" s="145">
        <v>4800</v>
      </c>
      <c r="F8" s="145" t="s">
        <v>4029</v>
      </c>
      <c r="G8" s="145" t="s">
        <v>4096</v>
      </c>
      <c r="H8" s="145" t="s">
        <v>4371</v>
      </c>
      <c r="I8" s="145" t="s">
        <v>4216</v>
      </c>
      <c r="J8" s="146"/>
      <c r="K8" s="146"/>
      <c r="L8" s="146"/>
      <c r="M8" s="146">
        <v>24000</v>
      </c>
      <c r="N8" s="165"/>
    </row>
    <row r="9" spans="1:14" x14ac:dyDescent="0.25">
      <c r="A9" s="162">
        <v>45313</v>
      </c>
      <c r="B9" s="163" t="s">
        <v>3984</v>
      </c>
      <c r="C9" s="163"/>
      <c r="D9" s="163" t="s">
        <v>3985</v>
      </c>
      <c r="E9" s="163">
        <v>3600</v>
      </c>
      <c r="F9" s="163"/>
      <c r="G9" s="163"/>
      <c r="H9" s="163"/>
      <c r="I9" s="163"/>
      <c r="J9" s="164"/>
      <c r="K9" s="164"/>
      <c r="L9" s="164"/>
      <c r="M9" s="164">
        <v>20000</v>
      </c>
      <c r="N9" s="166"/>
    </row>
    <row r="10" spans="1:14" x14ac:dyDescent="0.25">
      <c r="A10" s="144">
        <v>45315</v>
      </c>
      <c r="B10" s="145" t="s">
        <v>3988</v>
      </c>
      <c r="C10" s="145"/>
      <c r="D10" s="145" t="s">
        <v>3989</v>
      </c>
      <c r="E10" s="145">
        <v>7400</v>
      </c>
      <c r="F10" s="145">
        <v>22000</v>
      </c>
      <c r="G10" s="145" t="s">
        <v>4083</v>
      </c>
      <c r="H10" s="145"/>
      <c r="I10" s="145"/>
      <c r="J10" s="146"/>
      <c r="K10" s="146"/>
      <c r="L10" s="146"/>
      <c r="M10" s="146">
        <v>37000</v>
      </c>
      <c r="N10" s="124"/>
    </row>
    <row r="11" spans="1:14" x14ac:dyDescent="0.25">
      <c r="A11" s="144">
        <v>45316</v>
      </c>
      <c r="B11" s="145" t="s">
        <v>3990</v>
      </c>
      <c r="C11" s="145"/>
      <c r="D11" s="145" t="s">
        <v>3991</v>
      </c>
      <c r="E11" s="145">
        <v>9900</v>
      </c>
      <c r="F11" s="145" t="s">
        <v>4151</v>
      </c>
      <c r="G11" s="145"/>
      <c r="H11" s="145"/>
      <c r="I11" s="145"/>
      <c r="J11" s="146"/>
      <c r="K11" s="146"/>
      <c r="L11" s="146"/>
      <c r="M11" s="146">
        <v>24750</v>
      </c>
      <c r="N11" s="124"/>
    </row>
    <row r="12" spans="1:14" x14ac:dyDescent="0.25">
      <c r="A12" s="144">
        <v>45318</v>
      </c>
      <c r="B12" s="145" t="s">
        <v>4000</v>
      </c>
      <c r="C12" s="145">
        <v>8116062402</v>
      </c>
      <c r="D12" s="145" t="s">
        <v>4058</v>
      </c>
      <c r="E12" s="145">
        <v>2000</v>
      </c>
      <c r="F12" s="145" t="s">
        <v>4065</v>
      </c>
      <c r="G12" s="145" t="s">
        <v>4131</v>
      </c>
      <c r="H12" s="145" t="s">
        <v>4189</v>
      </c>
      <c r="I12" s="145" t="s">
        <v>4249</v>
      </c>
      <c r="J12" s="146" t="s">
        <v>4300</v>
      </c>
      <c r="K12" s="146" t="s">
        <v>4360</v>
      </c>
      <c r="L12" s="146" t="s">
        <v>4460</v>
      </c>
      <c r="M12" s="146">
        <v>30000</v>
      </c>
      <c r="N12" s="124"/>
    </row>
    <row r="13" spans="1:14" x14ac:dyDescent="0.25">
      <c r="A13" s="144">
        <v>45318</v>
      </c>
      <c r="B13" s="145" t="s">
        <v>4001</v>
      </c>
      <c r="C13" s="145"/>
      <c r="D13" s="145" t="s">
        <v>4002</v>
      </c>
      <c r="E13" s="145">
        <v>4400</v>
      </c>
      <c r="F13" s="145" t="s">
        <v>4048</v>
      </c>
      <c r="G13" s="145" t="s">
        <v>4118</v>
      </c>
      <c r="H13" s="145" t="s">
        <v>4213</v>
      </c>
      <c r="I13" s="145" t="s">
        <v>4235</v>
      </c>
      <c r="J13" s="146" t="s">
        <v>4274</v>
      </c>
      <c r="K13" s="146"/>
      <c r="L13" s="146"/>
      <c r="M13" s="146">
        <v>16850</v>
      </c>
      <c r="N13" s="124" t="s">
        <v>2561</v>
      </c>
    </row>
    <row r="14" spans="1:14" x14ac:dyDescent="0.25">
      <c r="A14" s="144">
        <v>45320</v>
      </c>
      <c r="B14" s="145" t="s">
        <v>4004</v>
      </c>
      <c r="C14" s="145"/>
      <c r="D14" s="145" t="s">
        <v>4200</v>
      </c>
      <c r="E14" s="145">
        <v>4400</v>
      </c>
      <c r="F14" s="145" t="s">
        <v>4068</v>
      </c>
      <c r="G14" s="145" t="s">
        <v>4144</v>
      </c>
      <c r="H14" s="145" t="s">
        <v>4199</v>
      </c>
      <c r="I14" s="145" t="s">
        <v>4263</v>
      </c>
      <c r="J14" s="146"/>
      <c r="K14" s="146"/>
      <c r="L14" s="146"/>
      <c r="M14" s="146">
        <v>21200</v>
      </c>
      <c r="N14" s="124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 t="s">
        <v>3543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3229-8AF3-45A0-AB6B-D8451566D7D3}">
  <dimension ref="A1:P17"/>
  <sheetViews>
    <sheetView workbookViewId="0">
      <selection activeCell="G13" sqref="G13"/>
    </sheetView>
  </sheetViews>
  <sheetFormatPr baseColWidth="10" defaultRowHeight="15" x14ac:dyDescent="0.25"/>
  <cols>
    <col min="1" max="1" width="12" customWidth="1"/>
    <col min="2" max="2" width="26.140625" customWidth="1"/>
    <col min="3" max="3" width="12" customWidth="1"/>
    <col min="4" max="4" width="52" customWidth="1"/>
    <col min="5" max="5" width="12" customWidth="1"/>
    <col min="6" max="6" width="19" customWidth="1"/>
    <col min="7" max="9" width="12" customWidth="1"/>
    <col min="10" max="14" width="13" customWidth="1"/>
  </cols>
  <sheetData>
    <row r="1" spans="1:16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4011</v>
      </c>
      <c r="G1" s="141" t="s">
        <v>3907</v>
      </c>
      <c r="H1" s="141" t="s">
        <v>3908</v>
      </c>
      <c r="I1" s="141" t="s">
        <v>3909</v>
      </c>
      <c r="J1" s="142" t="s">
        <v>4012</v>
      </c>
      <c r="K1" s="142" t="s">
        <v>4357</v>
      </c>
      <c r="L1" s="142" t="s">
        <v>4375</v>
      </c>
      <c r="M1" s="142" t="s">
        <v>4395</v>
      </c>
      <c r="N1" s="142" t="s">
        <v>4437</v>
      </c>
      <c r="O1" s="141" t="s">
        <v>270</v>
      </c>
      <c r="P1" s="169" t="s">
        <v>3317</v>
      </c>
    </row>
    <row r="2" spans="1:16" x14ac:dyDescent="0.25">
      <c r="A2" s="167">
        <v>45324</v>
      </c>
      <c r="B2" s="145" t="s">
        <v>4008</v>
      </c>
      <c r="C2" s="145"/>
      <c r="D2" s="145" t="s">
        <v>4009</v>
      </c>
      <c r="E2" s="145">
        <v>6900</v>
      </c>
      <c r="F2" s="145" t="s">
        <v>4234</v>
      </c>
      <c r="G2" s="145" t="s">
        <v>4150</v>
      </c>
      <c r="H2" s="145" t="s">
        <v>4196</v>
      </c>
      <c r="I2" s="145" t="s">
        <v>4301</v>
      </c>
      <c r="J2" s="146"/>
      <c r="K2" s="168"/>
      <c r="L2" s="168"/>
      <c r="M2" s="168"/>
      <c r="N2" s="168"/>
      <c r="O2" s="153">
        <v>34500</v>
      </c>
    </row>
    <row r="3" spans="1:16" x14ac:dyDescent="0.25">
      <c r="A3" s="35">
        <v>45325</v>
      </c>
      <c r="B3" s="36" t="s">
        <v>4013</v>
      </c>
      <c r="C3" s="36"/>
      <c r="D3" s="36" t="s">
        <v>4014</v>
      </c>
      <c r="E3" s="36">
        <v>3600</v>
      </c>
      <c r="F3" s="36" t="s">
        <v>4207</v>
      </c>
      <c r="G3" s="36"/>
      <c r="H3" s="36"/>
      <c r="I3" s="36"/>
      <c r="J3" s="36"/>
      <c r="K3" s="36"/>
      <c r="L3" s="36"/>
      <c r="M3" s="36"/>
      <c r="N3" s="36"/>
      <c r="O3" s="36">
        <v>18000</v>
      </c>
    </row>
    <row r="4" spans="1:16" x14ac:dyDescent="0.25">
      <c r="A4" s="35">
        <v>45325</v>
      </c>
      <c r="B4" s="36" t="s">
        <v>4015</v>
      </c>
      <c r="C4" s="36"/>
      <c r="D4" s="36" t="s">
        <v>4009</v>
      </c>
      <c r="E4" s="36">
        <v>12000</v>
      </c>
      <c r="F4" s="36" t="s">
        <v>4078</v>
      </c>
      <c r="G4" s="159" t="s">
        <v>4232</v>
      </c>
      <c r="H4" s="36" t="s">
        <v>2528</v>
      </c>
      <c r="I4" s="36" t="s">
        <v>4224</v>
      </c>
      <c r="J4" s="36"/>
      <c r="K4" s="36"/>
      <c r="L4" s="36"/>
      <c r="M4" s="36"/>
      <c r="N4" s="36"/>
      <c r="O4" s="36">
        <v>33000</v>
      </c>
    </row>
    <row r="5" spans="1:16" x14ac:dyDescent="0.25">
      <c r="A5" s="35">
        <v>45325</v>
      </c>
      <c r="B5" s="36" t="s">
        <v>4143</v>
      </c>
      <c r="C5" s="36"/>
      <c r="D5" s="36" t="s">
        <v>4018</v>
      </c>
      <c r="E5" s="36">
        <v>5000</v>
      </c>
      <c r="F5" s="36" t="s">
        <v>4067</v>
      </c>
      <c r="G5" s="36" t="s">
        <v>4147</v>
      </c>
      <c r="H5" s="36" t="s">
        <v>4194</v>
      </c>
      <c r="I5" s="36" t="s">
        <v>4264</v>
      </c>
      <c r="J5" s="36"/>
      <c r="K5" s="36"/>
      <c r="L5" s="36"/>
      <c r="M5" s="36"/>
      <c r="N5" s="36"/>
      <c r="O5" s="36">
        <v>25000</v>
      </c>
    </row>
    <row r="6" spans="1:16" x14ac:dyDescent="0.25">
      <c r="A6" s="35">
        <v>45332</v>
      </c>
      <c r="B6" s="36" t="s">
        <v>4024</v>
      </c>
      <c r="C6" s="36"/>
      <c r="D6" s="36" t="s">
        <v>1118</v>
      </c>
      <c r="E6" s="36">
        <v>2430</v>
      </c>
      <c r="F6" s="36" t="s">
        <v>4091</v>
      </c>
      <c r="G6" s="36" t="s">
        <v>4159</v>
      </c>
      <c r="H6" s="36" t="s">
        <v>4211</v>
      </c>
      <c r="I6" s="36"/>
      <c r="J6" s="36"/>
      <c r="K6" s="36"/>
      <c r="L6" s="36"/>
      <c r="M6" s="36"/>
      <c r="N6" s="36"/>
      <c r="O6" s="36">
        <v>12150</v>
      </c>
    </row>
    <row r="7" spans="1:16" x14ac:dyDescent="0.25">
      <c r="A7" s="35">
        <v>45334</v>
      </c>
      <c r="B7" s="36" t="s">
        <v>4028</v>
      </c>
      <c r="C7" s="36"/>
      <c r="D7" s="36" t="s">
        <v>4163</v>
      </c>
      <c r="E7" s="36">
        <v>5400</v>
      </c>
      <c r="F7" s="36" t="s">
        <v>4079</v>
      </c>
      <c r="G7" s="36" t="s">
        <v>4140</v>
      </c>
      <c r="H7" s="36">
        <v>1000</v>
      </c>
      <c r="I7" s="36" t="s">
        <v>4202</v>
      </c>
      <c r="J7" s="36" t="s">
        <v>4218</v>
      </c>
      <c r="K7" s="36"/>
      <c r="L7" s="36"/>
      <c r="M7" s="36"/>
      <c r="N7" s="36"/>
      <c r="O7" s="36">
        <v>29500</v>
      </c>
    </row>
    <row r="8" spans="1:16" x14ac:dyDescent="0.25">
      <c r="A8" s="48">
        <v>45339</v>
      </c>
      <c r="B8" s="36" t="s">
        <v>4034</v>
      </c>
      <c r="C8" s="36"/>
      <c r="D8" s="36" t="s">
        <v>4270</v>
      </c>
      <c r="E8" s="36">
        <v>1510</v>
      </c>
      <c r="F8" s="36" t="s">
        <v>4106</v>
      </c>
      <c r="G8" s="36" t="s">
        <v>4170</v>
      </c>
      <c r="H8" s="36" t="s">
        <v>4219</v>
      </c>
      <c r="I8" s="36" t="s">
        <v>4283</v>
      </c>
      <c r="J8" s="36"/>
      <c r="K8" s="36"/>
      <c r="L8" s="36"/>
      <c r="M8" s="36"/>
      <c r="N8" s="36"/>
      <c r="O8" s="36">
        <v>7550</v>
      </c>
    </row>
    <row r="9" spans="1:16" x14ac:dyDescent="0.25">
      <c r="A9" s="48">
        <v>45339</v>
      </c>
      <c r="B9" s="36" t="s">
        <v>4035</v>
      </c>
      <c r="C9" s="36"/>
      <c r="D9" s="36" t="s">
        <v>3972</v>
      </c>
      <c r="E9" s="36">
        <v>10320</v>
      </c>
      <c r="F9" s="36" t="s">
        <v>4109</v>
      </c>
      <c r="G9" s="36" t="s">
        <v>4227</v>
      </c>
      <c r="H9" s="36" t="s">
        <v>4226</v>
      </c>
      <c r="I9" s="36" t="s">
        <v>4284</v>
      </c>
      <c r="J9" s="36"/>
      <c r="K9" s="36"/>
      <c r="L9" s="36"/>
      <c r="M9" s="36"/>
      <c r="N9" s="36"/>
      <c r="O9" s="36">
        <v>25800</v>
      </c>
    </row>
    <row r="10" spans="1:16" x14ac:dyDescent="0.25">
      <c r="A10" s="48">
        <v>45339</v>
      </c>
      <c r="B10" s="36" t="s">
        <v>4037</v>
      </c>
      <c r="C10" s="36"/>
      <c r="D10" s="36" t="s">
        <v>4038</v>
      </c>
      <c r="E10" s="36">
        <v>5000</v>
      </c>
      <c r="F10" s="36" t="s">
        <v>4105</v>
      </c>
      <c r="G10" s="36" t="s">
        <v>4222</v>
      </c>
      <c r="H10" s="36"/>
      <c r="I10" s="36"/>
      <c r="J10" s="36"/>
      <c r="K10" s="36"/>
      <c r="L10" s="36"/>
      <c r="M10" s="36"/>
      <c r="N10" s="36"/>
      <c r="O10" s="36">
        <v>12400</v>
      </c>
    </row>
    <row r="11" spans="1:16" x14ac:dyDescent="0.25">
      <c r="A11" s="48">
        <v>45339</v>
      </c>
      <c r="B11" s="36" t="s">
        <v>4059</v>
      </c>
      <c r="C11" s="36"/>
      <c r="D11" s="36" t="s">
        <v>4402</v>
      </c>
      <c r="E11" s="36">
        <v>3910</v>
      </c>
      <c r="F11" s="36" t="s">
        <v>4100</v>
      </c>
      <c r="G11" s="36" t="s">
        <v>4401</v>
      </c>
      <c r="H11" s="36"/>
      <c r="I11" s="36"/>
      <c r="J11" s="36"/>
      <c r="K11" s="36"/>
      <c r="L11" s="36"/>
      <c r="M11" s="36"/>
      <c r="N11" s="36"/>
      <c r="O11" s="36">
        <v>19550</v>
      </c>
    </row>
    <row r="12" spans="1:16" x14ac:dyDescent="0.25">
      <c r="A12" s="48">
        <v>45342</v>
      </c>
      <c r="B12" s="36" t="s">
        <v>4041</v>
      </c>
      <c r="C12" s="36"/>
      <c r="D12" s="36" t="s">
        <v>4295</v>
      </c>
      <c r="E12" s="36">
        <v>3740</v>
      </c>
      <c r="F12" s="36" t="s">
        <v>4080</v>
      </c>
      <c r="G12" s="36" t="s">
        <v>4233</v>
      </c>
      <c r="H12" s="36" t="s">
        <v>4238</v>
      </c>
      <c r="I12" s="36"/>
      <c r="J12" s="36"/>
      <c r="K12" s="36"/>
      <c r="L12" s="36"/>
      <c r="M12" s="36"/>
      <c r="N12" s="36"/>
      <c r="O12" s="36">
        <v>15000</v>
      </c>
    </row>
    <row r="13" spans="1:16" x14ac:dyDescent="0.25">
      <c r="A13" s="48">
        <v>45343</v>
      </c>
      <c r="B13" s="36" t="s">
        <v>4044</v>
      </c>
      <c r="C13" s="36"/>
      <c r="D13" s="36" t="s">
        <v>4061</v>
      </c>
      <c r="E13" s="36">
        <v>5000</v>
      </c>
      <c r="F13" s="36" t="s">
        <v>4064</v>
      </c>
      <c r="G13" s="36" t="s">
        <v>4066</v>
      </c>
      <c r="H13" s="36" t="s">
        <v>4092</v>
      </c>
      <c r="I13" s="36"/>
      <c r="J13" s="36"/>
      <c r="K13" s="36"/>
      <c r="L13" s="36"/>
      <c r="M13" s="36"/>
      <c r="N13" s="36"/>
      <c r="O13" s="36">
        <v>14700</v>
      </c>
    </row>
    <row r="14" spans="1:16" x14ac:dyDescent="0.25">
      <c r="A14" s="48">
        <v>45346</v>
      </c>
      <c r="B14" s="36" t="s">
        <v>4049</v>
      </c>
      <c r="C14" s="36"/>
      <c r="D14" s="36" t="s">
        <v>4355</v>
      </c>
      <c r="E14" s="36">
        <v>3050</v>
      </c>
      <c r="F14" s="36" t="s">
        <v>4084</v>
      </c>
      <c r="G14" s="36" t="s">
        <v>4188</v>
      </c>
      <c r="H14" s="36" t="s">
        <v>4242</v>
      </c>
      <c r="I14" s="36" t="s">
        <v>4296</v>
      </c>
      <c r="J14" s="36" t="s">
        <v>4356</v>
      </c>
      <c r="K14" s="36" t="s">
        <v>4358</v>
      </c>
      <c r="L14" s="36" t="s">
        <v>4376</v>
      </c>
      <c r="M14" s="36" t="s">
        <v>4376</v>
      </c>
      <c r="N14" s="36" t="s">
        <v>4438</v>
      </c>
      <c r="O14" s="36">
        <v>16250</v>
      </c>
      <c r="P14" s="15"/>
    </row>
    <row r="15" spans="1:16" x14ac:dyDescent="0.25">
      <c r="A15" s="48">
        <v>45346</v>
      </c>
      <c r="B15" s="36" t="s">
        <v>4051</v>
      </c>
      <c r="C15" s="36"/>
      <c r="D15" s="36" t="s">
        <v>4116</v>
      </c>
      <c r="E15" s="36">
        <v>3520</v>
      </c>
      <c r="F15" s="36" t="s">
        <v>4115</v>
      </c>
      <c r="G15" s="36" t="s">
        <v>4117</v>
      </c>
      <c r="H15" s="36" t="s">
        <v>4142</v>
      </c>
      <c r="I15" s="36" t="s">
        <v>4173</v>
      </c>
      <c r="J15" s="36"/>
      <c r="K15" s="36"/>
      <c r="L15" s="36"/>
      <c r="M15" s="36"/>
      <c r="N15" s="36"/>
      <c r="O15" s="36">
        <v>10800</v>
      </c>
    </row>
    <row r="16" spans="1:16" x14ac:dyDescent="0.25">
      <c r="A16" s="48">
        <v>45346</v>
      </c>
      <c r="B16" s="36" t="s">
        <v>4052</v>
      </c>
      <c r="C16" s="36"/>
      <c r="D16" s="36" t="s">
        <v>4053</v>
      </c>
      <c r="E16" s="36">
        <v>6600</v>
      </c>
      <c r="F16" s="36" t="s">
        <v>4158</v>
      </c>
      <c r="G16" s="36" t="s">
        <v>4187</v>
      </c>
      <c r="H16" s="36" t="s">
        <v>4237</v>
      </c>
      <c r="I16" s="36" t="s">
        <v>4324</v>
      </c>
      <c r="J16" s="36" t="s">
        <v>4479</v>
      </c>
      <c r="K16" s="36"/>
      <c r="L16" s="36"/>
      <c r="M16" s="36"/>
      <c r="N16" s="36"/>
      <c r="O16" s="36">
        <v>35400</v>
      </c>
    </row>
    <row r="17" spans="1:15" x14ac:dyDescent="0.25">
      <c r="A17" s="35">
        <v>45348</v>
      </c>
      <c r="B17" s="36" t="s">
        <v>4062</v>
      </c>
      <c r="C17" s="36"/>
      <c r="D17" s="36" t="s">
        <v>4063</v>
      </c>
      <c r="E17" s="36">
        <v>10000</v>
      </c>
      <c r="F17" s="36" t="s">
        <v>4126</v>
      </c>
      <c r="G17" s="36" t="s">
        <v>4169</v>
      </c>
      <c r="H17" s="36" t="s">
        <v>4255</v>
      </c>
      <c r="I17" s="36" t="s">
        <v>4306</v>
      </c>
      <c r="J17" s="36"/>
      <c r="K17" s="36"/>
      <c r="L17" s="36"/>
      <c r="M17" s="36"/>
      <c r="N17" s="36"/>
      <c r="O17" s="36">
        <v>24490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2714-C212-4181-B3C7-EA709F372D9D}">
  <dimension ref="A1:K15"/>
  <sheetViews>
    <sheetView topLeftCell="B1" workbookViewId="0">
      <selection activeCell="A7" sqref="A7:K7"/>
    </sheetView>
  </sheetViews>
  <sheetFormatPr baseColWidth="10" defaultRowHeight="15" x14ac:dyDescent="0.25"/>
  <cols>
    <col min="1" max="1" width="12" customWidth="1"/>
    <col min="2" max="2" width="23.140625" customWidth="1"/>
    <col min="3" max="3" width="16.28515625" customWidth="1"/>
    <col min="4" max="4" width="45.28515625" customWidth="1"/>
    <col min="5" max="9" width="12" customWidth="1"/>
    <col min="10" max="11" width="13" customWidth="1"/>
  </cols>
  <sheetData>
    <row r="1" spans="1:11" x14ac:dyDescent="0.25">
      <c r="A1" s="147" t="s">
        <v>9</v>
      </c>
      <c r="B1" s="147" t="s">
        <v>0</v>
      </c>
      <c r="C1" s="147" t="s">
        <v>271</v>
      </c>
      <c r="D1" s="147" t="s">
        <v>4010</v>
      </c>
      <c r="E1" s="147" t="s">
        <v>3905</v>
      </c>
      <c r="F1" s="147" t="s">
        <v>4011</v>
      </c>
      <c r="G1" s="147" t="s">
        <v>3907</v>
      </c>
      <c r="H1" s="147" t="s">
        <v>3908</v>
      </c>
      <c r="I1" s="147" t="s">
        <v>3909</v>
      </c>
      <c r="J1" s="148" t="s">
        <v>4012</v>
      </c>
      <c r="K1" s="147" t="s">
        <v>270</v>
      </c>
    </row>
    <row r="2" spans="1:11" x14ac:dyDescent="0.25">
      <c r="A2" s="17" t="s">
        <v>3317</v>
      </c>
      <c r="B2" t="s">
        <v>3390</v>
      </c>
      <c r="C2" t="s">
        <v>3455</v>
      </c>
      <c r="D2" t="s">
        <v>3457</v>
      </c>
      <c r="E2" t="s">
        <v>3910</v>
      </c>
      <c r="F2" t="s">
        <v>3911</v>
      </c>
      <c r="G2" t="s">
        <v>3912</v>
      </c>
      <c r="H2" t="s">
        <v>3913</v>
      </c>
      <c r="I2" t="s">
        <v>3914</v>
      </c>
      <c r="J2" t="s">
        <v>3915</v>
      </c>
      <c r="K2" t="s">
        <v>3992</v>
      </c>
    </row>
    <row r="3" spans="1:11" x14ac:dyDescent="0.25">
      <c r="A3" s="48">
        <v>45353</v>
      </c>
      <c r="B3" s="36" t="s">
        <v>4071</v>
      </c>
      <c r="C3" s="36"/>
      <c r="D3" s="36" t="s">
        <v>4072</v>
      </c>
      <c r="E3" s="36">
        <v>5480</v>
      </c>
      <c r="F3" s="36" t="s">
        <v>4137</v>
      </c>
      <c r="G3" s="36" t="s">
        <v>4210</v>
      </c>
      <c r="H3" s="36"/>
      <c r="I3" s="36"/>
      <c r="J3" s="36"/>
      <c r="K3" s="36">
        <v>16450</v>
      </c>
    </row>
    <row r="4" spans="1:11" x14ac:dyDescent="0.25">
      <c r="A4" s="48">
        <v>45360</v>
      </c>
      <c r="B4" s="36" t="s">
        <v>4088</v>
      </c>
      <c r="C4" s="36"/>
      <c r="D4" s="36" t="s">
        <v>4310</v>
      </c>
      <c r="E4" s="36">
        <v>2100</v>
      </c>
      <c r="F4" s="36" t="s">
        <v>4153</v>
      </c>
      <c r="G4" s="36" t="s">
        <v>4201</v>
      </c>
      <c r="H4" s="36" t="s">
        <v>4245</v>
      </c>
      <c r="I4" s="36" t="s">
        <v>4309</v>
      </c>
      <c r="J4" s="36"/>
      <c r="K4" s="36">
        <v>10500</v>
      </c>
    </row>
    <row r="5" spans="1:11" ht="30" x14ac:dyDescent="0.25">
      <c r="A5" s="48">
        <v>45360</v>
      </c>
      <c r="B5" s="36" t="s">
        <v>4089</v>
      </c>
      <c r="C5" s="36"/>
      <c r="D5" s="50" t="s">
        <v>4138</v>
      </c>
      <c r="E5" s="36">
        <v>7040</v>
      </c>
      <c r="F5" s="36" t="s">
        <v>4120</v>
      </c>
      <c r="G5" s="36" t="s">
        <v>4191</v>
      </c>
      <c r="H5" s="36" t="s">
        <v>4311</v>
      </c>
      <c r="I5" s="36" t="s">
        <v>4312</v>
      </c>
      <c r="J5" s="36"/>
      <c r="K5" s="36">
        <v>35200</v>
      </c>
    </row>
    <row r="6" spans="1:11" x14ac:dyDescent="0.25">
      <c r="A6" s="48">
        <v>45365</v>
      </c>
      <c r="B6" s="36" t="s">
        <v>4097</v>
      </c>
      <c r="C6" s="36"/>
      <c r="D6" s="36" t="s">
        <v>4098</v>
      </c>
      <c r="E6" s="36">
        <v>4300</v>
      </c>
      <c r="F6" s="36" t="s">
        <v>4167</v>
      </c>
      <c r="G6" s="36" t="s">
        <v>4229</v>
      </c>
      <c r="H6" s="36" t="s">
        <v>4269</v>
      </c>
      <c r="I6" s="36"/>
      <c r="J6" s="36"/>
      <c r="K6" s="36">
        <v>21500</v>
      </c>
    </row>
    <row r="7" spans="1:11" x14ac:dyDescent="0.25">
      <c r="A7" s="48">
        <v>45367</v>
      </c>
      <c r="B7" s="36" t="s">
        <v>4101</v>
      </c>
      <c r="C7" s="36"/>
      <c r="D7" s="36" t="s">
        <v>4102</v>
      </c>
      <c r="E7" s="36">
        <v>4000</v>
      </c>
      <c r="F7" s="36" t="s">
        <v>4256</v>
      </c>
      <c r="G7" s="36" t="s">
        <v>4446</v>
      </c>
      <c r="H7" s="36"/>
      <c r="I7" s="36"/>
      <c r="J7" s="36"/>
      <c r="K7" s="36">
        <v>33000</v>
      </c>
    </row>
    <row r="8" spans="1:11" x14ac:dyDescent="0.25">
      <c r="A8" s="155">
        <v>45367</v>
      </c>
      <c r="B8" s="9" t="s">
        <v>4104</v>
      </c>
      <c r="C8" s="9"/>
      <c r="D8" s="9" t="s">
        <v>4103</v>
      </c>
      <c r="E8" s="9">
        <v>12000</v>
      </c>
      <c r="F8" s="9"/>
      <c r="G8" s="9"/>
      <c r="H8" s="9"/>
      <c r="I8" s="9"/>
      <c r="J8" s="9"/>
      <c r="K8" s="9">
        <v>30000</v>
      </c>
    </row>
    <row r="9" spans="1:11" x14ac:dyDescent="0.25">
      <c r="A9" s="48">
        <v>45367</v>
      </c>
      <c r="B9" s="36" t="s">
        <v>4107</v>
      </c>
      <c r="C9" s="36"/>
      <c r="D9" s="36" t="s">
        <v>4108</v>
      </c>
      <c r="E9" s="36">
        <v>5500</v>
      </c>
      <c r="F9" s="36" t="s">
        <v>4111</v>
      </c>
      <c r="G9" s="36"/>
      <c r="H9" s="36"/>
      <c r="I9" s="36"/>
      <c r="J9" s="36"/>
      <c r="K9" s="36">
        <v>27000</v>
      </c>
    </row>
    <row r="10" spans="1:11" x14ac:dyDescent="0.25">
      <c r="A10" s="48" t="s">
        <v>4303</v>
      </c>
      <c r="B10" s="36" t="s">
        <v>4113</v>
      </c>
      <c r="C10" s="36"/>
      <c r="D10" s="36" t="s">
        <v>4114</v>
      </c>
      <c r="E10" s="36">
        <v>13820</v>
      </c>
      <c r="F10" s="36" t="s">
        <v>4185</v>
      </c>
      <c r="G10" s="36" t="s">
        <v>4228</v>
      </c>
      <c r="H10" s="36" t="s">
        <v>4302</v>
      </c>
      <c r="I10" s="36"/>
      <c r="J10" s="36"/>
      <c r="K10" s="36">
        <v>34550</v>
      </c>
    </row>
    <row r="11" spans="1:11" x14ac:dyDescent="0.25">
      <c r="A11" s="48" t="s">
        <v>4157</v>
      </c>
      <c r="B11" s="36" t="s">
        <v>4121</v>
      </c>
      <c r="C11" s="36"/>
      <c r="D11" s="36" t="s">
        <v>4122</v>
      </c>
      <c r="E11" s="36">
        <v>2000</v>
      </c>
      <c r="F11" s="36" t="s">
        <v>4236</v>
      </c>
      <c r="G11" s="36"/>
      <c r="H11" s="36"/>
      <c r="I11" s="36"/>
      <c r="J11" s="36"/>
      <c r="K11" s="36">
        <v>9100</v>
      </c>
    </row>
    <row r="12" spans="1:11" x14ac:dyDescent="0.25">
      <c r="A12" s="155">
        <v>45376</v>
      </c>
      <c r="B12" s="9" t="s">
        <v>4123</v>
      </c>
      <c r="C12" s="9"/>
      <c r="D12" s="9" t="s">
        <v>4130</v>
      </c>
      <c r="E12" s="9">
        <v>2000</v>
      </c>
      <c r="F12" s="9">
        <v>300</v>
      </c>
      <c r="G12" s="9"/>
      <c r="H12" s="9"/>
      <c r="I12" s="9"/>
      <c r="J12" s="9"/>
      <c r="K12" s="9">
        <v>8850</v>
      </c>
    </row>
    <row r="13" spans="1:11" x14ac:dyDescent="0.25">
      <c r="A13" s="48">
        <v>45378</v>
      </c>
      <c r="B13" s="36" t="s">
        <v>4127</v>
      </c>
      <c r="C13" s="36"/>
      <c r="D13" s="36" t="s">
        <v>4396</v>
      </c>
      <c r="E13" s="36">
        <v>15200</v>
      </c>
      <c r="F13" s="36" t="s">
        <v>4195</v>
      </c>
      <c r="G13" s="36" t="s">
        <v>4353</v>
      </c>
      <c r="H13" s="36" t="s">
        <v>4404</v>
      </c>
      <c r="I13" s="36" t="s">
        <v>4429</v>
      </c>
      <c r="J13" s="36"/>
      <c r="K13" s="36">
        <v>42050</v>
      </c>
    </row>
    <row r="14" spans="1:11" x14ac:dyDescent="0.25">
      <c r="A14" s="48">
        <v>45378</v>
      </c>
      <c r="B14" s="36" t="s">
        <v>4128</v>
      </c>
      <c r="C14" s="36"/>
      <c r="D14" s="36" t="s">
        <v>4129</v>
      </c>
      <c r="E14" s="36">
        <v>25450</v>
      </c>
      <c r="F14" s="36"/>
      <c r="G14" s="36"/>
      <c r="H14" s="36"/>
      <c r="I14" s="36"/>
      <c r="J14" s="36"/>
      <c r="K14" s="36">
        <v>25450</v>
      </c>
    </row>
    <row r="15" spans="1:11" x14ac:dyDescent="0.25">
      <c r="A15" s="48">
        <v>45381</v>
      </c>
      <c r="B15" s="36" t="s">
        <v>4145</v>
      </c>
      <c r="C15" s="36"/>
      <c r="D15" s="36" t="s">
        <v>4146</v>
      </c>
      <c r="E15" s="36">
        <v>3070</v>
      </c>
      <c r="F15" s="36" t="s">
        <v>4202</v>
      </c>
      <c r="G15" s="36" t="s">
        <v>4282</v>
      </c>
      <c r="H15" s="36" t="s">
        <v>4321</v>
      </c>
      <c r="I15" s="36"/>
      <c r="J15" s="36"/>
      <c r="K15" s="36">
        <v>15350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9C9D-486A-4917-B00B-93B2C4EA95FB}">
  <dimension ref="A1:M9"/>
  <sheetViews>
    <sheetView topLeftCell="E1" workbookViewId="0">
      <selection activeCell="P14" sqref="P14"/>
    </sheetView>
  </sheetViews>
  <sheetFormatPr baseColWidth="10" defaultRowHeight="15" x14ac:dyDescent="0.25"/>
  <cols>
    <col min="1" max="1" width="12" customWidth="1"/>
    <col min="2" max="2" width="23.42578125" customWidth="1"/>
    <col min="3" max="3" width="12" customWidth="1"/>
    <col min="4" max="4" width="56.5703125" customWidth="1"/>
    <col min="5" max="9" width="12" customWidth="1"/>
    <col min="10" max="12" width="13" customWidth="1"/>
  </cols>
  <sheetData>
    <row r="1" spans="1:13" x14ac:dyDescent="0.25">
      <c r="A1" s="156" t="s">
        <v>3317</v>
      </c>
      <c r="B1" s="156" t="s">
        <v>3390</v>
      </c>
      <c r="C1" s="156" t="s">
        <v>3455</v>
      </c>
      <c r="D1" s="156" t="s">
        <v>3457</v>
      </c>
      <c r="E1" s="156" t="s">
        <v>3910</v>
      </c>
      <c r="F1" s="156" t="s">
        <v>3911</v>
      </c>
      <c r="G1" s="156" t="s">
        <v>3912</v>
      </c>
      <c r="H1" s="156" t="s">
        <v>3913</v>
      </c>
      <c r="I1" s="156" t="s">
        <v>3914</v>
      </c>
      <c r="J1" s="157" t="s">
        <v>3915</v>
      </c>
      <c r="K1" s="157" t="s">
        <v>4449</v>
      </c>
      <c r="L1" s="157" t="s">
        <v>4576</v>
      </c>
      <c r="M1" s="156" t="s">
        <v>3992</v>
      </c>
    </row>
    <row r="2" spans="1:13" x14ac:dyDescent="0.25">
      <c r="A2" s="147" t="s">
        <v>9</v>
      </c>
      <c r="B2" s="147" t="s">
        <v>0</v>
      </c>
      <c r="C2" s="147" t="s">
        <v>271</v>
      </c>
      <c r="D2" s="147" t="s">
        <v>4010</v>
      </c>
      <c r="E2" s="147" t="s">
        <v>3905</v>
      </c>
      <c r="F2" s="147" t="s">
        <v>4011</v>
      </c>
      <c r="G2" s="147" t="s">
        <v>3907</v>
      </c>
      <c r="H2" s="147" t="s">
        <v>3908</v>
      </c>
      <c r="I2" s="147" t="s">
        <v>3909</v>
      </c>
      <c r="J2" s="148" t="s">
        <v>4012</v>
      </c>
      <c r="K2" s="148"/>
      <c r="L2" s="148"/>
      <c r="M2" s="147" t="s">
        <v>270</v>
      </c>
    </row>
    <row r="3" spans="1:13" x14ac:dyDescent="0.25">
      <c r="A3" s="48">
        <v>45388</v>
      </c>
      <c r="B3" s="36" t="s">
        <v>4154</v>
      </c>
      <c r="C3" s="36"/>
      <c r="D3" s="36" t="s">
        <v>4155</v>
      </c>
      <c r="E3" s="36">
        <v>3600</v>
      </c>
      <c r="F3" s="36" t="s">
        <v>4193</v>
      </c>
      <c r="G3" s="36" t="s">
        <v>4257</v>
      </c>
      <c r="H3" s="36" t="s">
        <v>4314</v>
      </c>
      <c r="I3" s="36" t="s">
        <v>4325</v>
      </c>
      <c r="J3" s="36"/>
      <c r="K3" s="36"/>
      <c r="L3" s="36"/>
      <c r="M3" s="36">
        <v>18000</v>
      </c>
    </row>
    <row r="4" spans="1:13" x14ac:dyDescent="0.25">
      <c r="A4" s="35">
        <v>45388</v>
      </c>
      <c r="B4" s="36" t="s">
        <v>4156</v>
      </c>
      <c r="C4" s="36"/>
      <c r="D4" s="36" t="s">
        <v>3265</v>
      </c>
      <c r="E4" s="36">
        <v>2420</v>
      </c>
      <c r="F4" s="36" t="s">
        <v>4190</v>
      </c>
      <c r="G4" s="36"/>
      <c r="H4" s="36"/>
      <c r="I4" s="36"/>
      <c r="J4" s="36"/>
      <c r="K4" s="36"/>
      <c r="L4" s="36"/>
      <c r="M4" s="36">
        <v>6050</v>
      </c>
    </row>
    <row r="5" spans="1:13" x14ac:dyDescent="0.25">
      <c r="A5" s="35">
        <v>45395</v>
      </c>
      <c r="B5" s="36" t="s">
        <v>4164</v>
      </c>
      <c r="C5" s="36"/>
      <c r="D5" s="36" t="s">
        <v>4575</v>
      </c>
      <c r="E5" s="36">
        <v>2500</v>
      </c>
      <c r="F5" s="36" t="s">
        <v>4214</v>
      </c>
      <c r="G5" s="36" t="s">
        <v>4287</v>
      </c>
      <c r="H5" s="36" t="s">
        <v>4408</v>
      </c>
      <c r="I5" s="36" t="s">
        <v>4351</v>
      </c>
      <c r="J5" s="36" t="s">
        <v>4409</v>
      </c>
      <c r="K5" s="36" t="s">
        <v>4450</v>
      </c>
      <c r="L5" s="36" t="s">
        <v>4577</v>
      </c>
      <c r="M5" s="36">
        <v>22500</v>
      </c>
    </row>
    <row r="6" spans="1:13" x14ac:dyDescent="0.25">
      <c r="A6" s="48">
        <v>45398</v>
      </c>
      <c r="B6" s="36" t="s">
        <v>4168</v>
      </c>
      <c r="C6" s="36"/>
      <c r="D6" s="36" t="s">
        <v>4239</v>
      </c>
      <c r="E6" s="36">
        <v>10000</v>
      </c>
      <c r="F6" s="36" t="s">
        <v>4250</v>
      </c>
      <c r="G6" s="36" t="s">
        <v>4267</v>
      </c>
      <c r="H6" s="36"/>
      <c r="I6" s="36"/>
      <c r="J6" s="36"/>
      <c r="K6" s="36"/>
      <c r="L6" s="36"/>
      <c r="M6" s="36">
        <v>25950</v>
      </c>
    </row>
    <row r="7" spans="1:13" x14ac:dyDescent="0.25">
      <c r="A7" s="35">
        <v>45402</v>
      </c>
      <c r="B7" s="36" t="s">
        <v>4175</v>
      </c>
      <c r="C7" s="36"/>
      <c r="D7" s="36" t="s">
        <v>4174</v>
      </c>
      <c r="E7" s="36">
        <v>6000</v>
      </c>
      <c r="F7" s="36" t="s">
        <v>4225</v>
      </c>
      <c r="G7" s="36" t="s">
        <v>4291</v>
      </c>
      <c r="H7" s="36" t="s">
        <v>3720</v>
      </c>
      <c r="I7" s="36" t="s">
        <v>4385</v>
      </c>
      <c r="J7" s="36"/>
      <c r="K7" s="36"/>
      <c r="L7" s="36"/>
      <c r="M7" s="36">
        <v>30000</v>
      </c>
    </row>
    <row r="8" spans="1:13" x14ac:dyDescent="0.25">
      <c r="A8" s="35">
        <v>45406</v>
      </c>
      <c r="B8" s="36" t="s">
        <v>4186</v>
      </c>
      <c r="C8" s="36"/>
      <c r="D8" s="36" t="s">
        <v>4293</v>
      </c>
      <c r="E8" s="36">
        <v>7540</v>
      </c>
      <c r="F8" s="36" t="s">
        <v>4241</v>
      </c>
      <c r="G8" s="36" t="s">
        <v>4292</v>
      </c>
      <c r="H8" s="36"/>
      <c r="I8" s="36"/>
      <c r="J8" s="36"/>
      <c r="K8" s="36"/>
      <c r="L8" s="36"/>
      <c r="M8" s="36">
        <v>18800</v>
      </c>
    </row>
    <row r="9" spans="1:13" x14ac:dyDescent="0.25">
      <c r="A9" s="35">
        <v>45408</v>
      </c>
      <c r="B9" s="36" t="s">
        <v>4178</v>
      </c>
      <c r="C9" s="36"/>
      <c r="D9" s="36" t="s">
        <v>4320</v>
      </c>
      <c r="E9" s="36">
        <v>14500</v>
      </c>
      <c r="F9" s="36" t="s">
        <v>4319</v>
      </c>
      <c r="G9" s="36" t="s">
        <v>1766</v>
      </c>
      <c r="H9" s="36"/>
      <c r="I9" s="36"/>
      <c r="J9" s="36"/>
      <c r="K9" s="36"/>
      <c r="L9" s="36"/>
      <c r="M9" s="36">
        <v>18400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53B8-1374-495A-8635-7924A9A644E2}">
  <dimension ref="A1:M14"/>
  <sheetViews>
    <sheetView workbookViewId="0">
      <selection activeCell="I15" sqref="I15"/>
    </sheetView>
  </sheetViews>
  <sheetFormatPr baseColWidth="10" defaultRowHeight="15" x14ac:dyDescent="0.25"/>
  <cols>
    <col min="1" max="1" width="12" customWidth="1"/>
    <col min="2" max="2" width="30.42578125" customWidth="1"/>
    <col min="4" max="4" width="24.7109375" customWidth="1"/>
    <col min="6" max="6" width="12.140625" customWidth="1"/>
  </cols>
  <sheetData>
    <row r="1" spans="1:13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4011</v>
      </c>
      <c r="G1" s="160" t="s">
        <v>3907</v>
      </c>
      <c r="H1" s="160" t="s">
        <v>3908</v>
      </c>
      <c r="I1" s="160" t="s">
        <v>3909</v>
      </c>
      <c r="J1" s="161" t="s">
        <v>4012</v>
      </c>
      <c r="K1" s="161" t="s">
        <v>4357</v>
      </c>
      <c r="L1" s="160" t="s">
        <v>270</v>
      </c>
      <c r="M1" s="160" t="s">
        <v>3317</v>
      </c>
    </row>
    <row r="2" spans="1:13" x14ac:dyDescent="0.25">
      <c r="A2" s="48">
        <v>45416</v>
      </c>
      <c r="B2" s="36" t="s">
        <v>4179</v>
      </c>
      <c r="C2" s="36"/>
      <c r="D2" s="36" t="s">
        <v>4180</v>
      </c>
      <c r="E2" s="36">
        <v>3960</v>
      </c>
      <c r="F2" s="36" t="s">
        <v>4230</v>
      </c>
      <c r="G2" s="36" t="s">
        <v>4251</v>
      </c>
      <c r="H2" s="36"/>
      <c r="I2" s="36"/>
      <c r="J2" s="36"/>
      <c r="K2" s="36"/>
      <c r="L2" s="36">
        <v>9900</v>
      </c>
    </row>
    <row r="3" spans="1:13" x14ac:dyDescent="0.25">
      <c r="A3" s="48">
        <v>45416</v>
      </c>
      <c r="B3" s="36" t="s">
        <v>4181</v>
      </c>
      <c r="C3" s="36"/>
      <c r="D3" s="36" t="s">
        <v>4141</v>
      </c>
      <c r="E3" s="36">
        <v>4150</v>
      </c>
      <c r="F3" s="36" t="s">
        <v>4289</v>
      </c>
      <c r="G3" s="36" t="s">
        <v>5048</v>
      </c>
      <c r="H3" s="36" t="s">
        <v>5048</v>
      </c>
      <c r="I3" s="36" t="s">
        <v>5080</v>
      </c>
      <c r="J3" s="36"/>
      <c r="K3" s="36"/>
      <c r="L3" s="36"/>
    </row>
    <row r="4" spans="1:13" ht="30" x14ac:dyDescent="0.25">
      <c r="A4" s="48" t="s">
        <v>4203</v>
      </c>
      <c r="B4" s="36" t="s">
        <v>4204</v>
      </c>
      <c r="C4" s="36"/>
      <c r="D4" s="36" t="s">
        <v>110</v>
      </c>
      <c r="E4" s="36">
        <v>2000</v>
      </c>
      <c r="F4" s="50" t="s">
        <v>4277</v>
      </c>
      <c r="G4" s="36" t="s">
        <v>4365</v>
      </c>
      <c r="H4" s="36"/>
      <c r="I4" s="36"/>
      <c r="J4" s="36"/>
      <c r="K4" s="36"/>
      <c r="L4" s="36">
        <v>6100</v>
      </c>
    </row>
    <row r="5" spans="1:13" x14ac:dyDescent="0.25">
      <c r="A5" s="48">
        <v>45418</v>
      </c>
      <c r="B5" s="36" t="s">
        <v>4182</v>
      </c>
      <c r="C5" s="36"/>
      <c r="D5" s="36" t="s">
        <v>4573</v>
      </c>
      <c r="E5" s="36">
        <v>4140</v>
      </c>
      <c r="F5" s="36" t="s">
        <v>4268</v>
      </c>
      <c r="G5" s="36" t="s">
        <v>4313</v>
      </c>
      <c r="H5" s="36" t="s">
        <v>4368</v>
      </c>
      <c r="I5" s="36" t="s">
        <v>4427</v>
      </c>
      <c r="J5" s="36" t="s">
        <v>4574</v>
      </c>
      <c r="K5" s="36"/>
      <c r="L5" s="36">
        <v>21900</v>
      </c>
    </row>
    <row r="6" spans="1:13" x14ac:dyDescent="0.25">
      <c r="A6" s="48">
        <v>45423</v>
      </c>
      <c r="B6" s="36" t="s">
        <v>4208</v>
      </c>
      <c r="C6" s="36"/>
      <c r="D6" s="36" t="s">
        <v>2018</v>
      </c>
      <c r="E6" s="36">
        <v>4000</v>
      </c>
      <c r="F6" s="36" t="s">
        <v>4278</v>
      </c>
      <c r="G6" s="36" t="s">
        <v>4378</v>
      </c>
      <c r="H6" s="36" t="s">
        <v>3074</v>
      </c>
      <c r="I6" s="36" t="s">
        <v>4519</v>
      </c>
      <c r="J6" s="36" t="s">
        <v>4752</v>
      </c>
      <c r="K6" s="36"/>
      <c r="L6" s="36">
        <v>20000</v>
      </c>
    </row>
    <row r="7" spans="1:13" x14ac:dyDescent="0.25">
      <c r="A7" s="48">
        <v>45423</v>
      </c>
      <c r="B7" s="36" t="s">
        <v>4212</v>
      </c>
      <c r="C7" s="36"/>
      <c r="D7" s="36" t="s">
        <v>4444</v>
      </c>
      <c r="E7" s="36">
        <v>4000</v>
      </c>
      <c r="F7" s="36" t="s">
        <v>4281</v>
      </c>
      <c r="G7" s="36" t="s">
        <v>4350</v>
      </c>
      <c r="H7" s="36" t="s">
        <v>4386</v>
      </c>
      <c r="I7" s="36" t="s">
        <v>4430</v>
      </c>
      <c r="J7" s="36" t="s">
        <v>4445</v>
      </c>
      <c r="K7" s="36"/>
      <c r="L7" s="36">
        <v>20750</v>
      </c>
    </row>
    <row r="8" spans="1:13" x14ac:dyDescent="0.25">
      <c r="A8" s="48">
        <v>45425</v>
      </c>
      <c r="B8" s="36" t="s">
        <v>4217</v>
      </c>
      <c r="C8" s="36"/>
      <c r="D8" s="36" t="s">
        <v>4381</v>
      </c>
      <c r="E8" s="36">
        <v>2000</v>
      </c>
      <c r="F8" s="36" t="s">
        <v>4221</v>
      </c>
      <c r="G8" s="36" t="s">
        <v>4285</v>
      </c>
      <c r="H8" s="36" t="s">
        <v>4345</v>
      </c>
      <c r="I8" s="36" t="s">
        <v>1766</v>
      </c>
      <c r="J8" s="36" t="s">
        <v>4366</v>
      </c>
      <c r="K8" s="36" t="s">
        <v>4382</v>
      </c>
      <c r="L8" s="36">
        <v>24700</v>
      </c>
    </row>
    <row r="9" spans="1:13" x14ac:dyDescent="0.25">
      <c r="A9" s="48">
        <v>45430</v>
      </c>
      <c r="B9" s="36" t="s">
        <v>4223</v>
      </c>
      <c r="C9" s="36"/>
      <c r="D9" s="36" t="s">
        <v>4343</v>
      </c>
      <c r="E9" s="36">
        <v>8280</v>
      </c>
      <c r="F9" s="36" t="s">
        <v>4344</v>
      </c>
      <c r="G9" s="36">
        <v>12420</v>
      </c>
      <c r="H9" s="36"/>
      <c r="I9" s="36"/>
      <c r="J9" s="36"/>
      <c r="K9" s="36"/>
      <c r="L9" s="36">
        <v>20700</v>
      </c>
    </row>
    <row r="10" spans="1:13" x14ac:dyDescent="0.25">
      <c r="A10" s="35">
        <v>45433</v>
      </c>
      <c r="B10" s="36" t="s">
        <v>4240</v>
      </c>
      <c r="C10" s="36"/>
      <c r="D10" s="36" t="s">
        <v>4387</v>
      </c>
      <c r="E10" s="36">
        <v>3400</v>
      </c>
      <c r="F10" s="36" t="s">
        <v>4286</v>
      </c>
      <c r="G10" s="36" t="s">
        <v>4352</v>
      </c>
      <c r="H10" s="36" t="s">
        <v>4372</v>
      </c>
      <c r="I10" s="36" t="s">
        <v>4436</v>
      </c>
      <c r="J10" s="36"/>
      <c r="K10" s="36"/>
      <c r="L10" s="36">
        <v>17800</v>
      </c>
    </row>
    <row r="11" spans="1:13" x14ac:dyDescent="0.25">
      <c r="A11" s="48">
        <v>45435</v>
      </c>
      <c r="B11" s="36" t="s">
        <v>4243</v>
      </c>
      <c r="C11" s="36"/>
      <c r="D11" s="36" t="s">
        <v>4244</v>
      </c>
      <c r="E11" s="36">
        <v>5500</v>
      </c>
      <c r="F11" s="36" t="s">
        <v>4271</v>
      </c>
      <c r="G11" s="36"/>
      <c r="H11" s="36"/>
      <c r="I11" s="36"/>
      <c r="J11" s="36"/>
      <c r="K11" s="36"/>
      <c r="L11" s="36">
        <v>14400</v>
      </c>
    </row>
    <row r="12" spans="1:13" x14ac:dyDescent="0.25">
      <c r="A12" s="48">
        <v>45437</v>
      </c>
      <c r="B12" s="36" t="s">
        <v>4246</v>
      </c>
      <c r="C12" s="36"/>
      <c r="D12" s="36" t="s">
        <v>4420</v>
      </c>
      <c r="E12" s="36">
        <v>4180</v>
      </c>
      <c r="F12" s="36" t="s">
        <v>4294</v>
      </c>
      <c r="G12" s="36" t="s">
        <v>4421</v>
      </c>
      <c r="H12" s="36"/>
      <c r="I12" s="36"/>
      <c r="J12" s="36"/>
      <c r="K12" s="36"/>
      <c r="L12" s="36">
        <v>23300</v>
      </c>
    </row>
    <row r="13" spans="1:13" x14ac:dyDescent="0.25">
      <c r="A13" s="48">
        <v>45440</v>
      </c>
      <c r="B13" s="36" t="s">
        <v>4253</v>
      </c>
      <c r="C13" s="36"/>
      <c r="D13" s="36" t="s">
        <v>4254</v>
      </c>
      <c r="E13" s="36">
        <v>3000</v>
      </c>
      <c r="F13" s="36" t="s">
        <v>4297</v>
      </c>
      <c r="G13" s="36" t="s">
        <v>4326</v>
      </c>
      <c r="H13" s="36"/>
      <c r="I13" s="36"/>
      <c r="J13" s="36"/>
      <c r="K13" s="36"/>
      <c r="L13" s="36">
        <v>6850</v>
      </c>
    </row>
    <row r="14" spans="1:13" x14ac:dyDescent="0.25">
      <c r="A14" s="48">
        <v>45441</v>
      </c>
      <c r="B14" s="36" t="s">
        <v>4290</v>
      </c>
      <c r="C14" s="36"/>
      <c r="D14" s="36" t="s">
        <v>4399</v>
      </c>
      <c r="E14" s="36">
        <v>4320</v>
      </c>
      <c r="F14" s="36" t="s">
        <v>4305</v>
      </c>
      <c r="G14" s="36" t="s">
        <v>4361</v>
      </c>
      <c r="H14" s="36" t="s">
        <v>4400</v>
      </c>
      <c r="I14" s="36" t="s">
        <v>4474</v>
      </c>
      <c r="J14" s="36"/>
      <c r="K14" s="36"/>
      <c r="L14" s="36">
        <v>24800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F787-B504-41B6-87E4-A6D5E82F28F3}">
  <dimension ref="A1:K5"/>
  <sheetViews>
    <sheetView workbookViewId="0">
      <selection activeCell="D5" sqref="D5"/>
    </sheetView>
  </sheetViews>
  <sheetFormatPr baseColWidth="10" defaultRowHeight="15" x14ac:dyDescent="0.25"/>
  <cols>
    <col min="1" max="1" width="12" customWidth="1"/>
    <col min="2" max="2" width="21.28515625" customWidth="1"/>
    <col min="3" max="3" width="12" customWidth="1"/>
    <col min="4" max="4" width="40" customWidth="1"/>
    <col min="5" max="9" width="12" customWidth="1"/>
    <col min="10" max="11" width="13" customWidth="1"/>
  </cols>
  <sheetData>
    <row r="1" spans="1:11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0" t="s">
        <v>270</v>
      </c>
    </row>
    <row r="2" spans="1:11" ht="15.75" customHeight="1" x14ac:dyDescent="0.25">
      <c r="A2" s="170">
        <v>45444</v>
      </c>
      <c r="B2" s="171" t="s">
        <v>4262</v>
      </c>
      <c r="C2" s="171"/>
      <c r="D2" s="171" t="s">
        <v>4522</v>
      </c>
      <c r="E2" s="171">
        <v>4440</v>
      </c>
      <c r="F2" s="171" t="s">
        <v>4304</v>
      </c>
      <c r="G2" s="171" t="s">
        <v>4363</v>
      </c>
      <c r="H2" s="172" t="s">
        <v>4417</v>
      </c>
      <c r="I2" s="172" t="s">
        <v>4447</v>
      </c>
      <c r="J2" s="173" t="s">
        <v>4523</v>
      </c>
      <c r="K2" s="171">
        <v>22200</v>
      </c>
    </row>
    <row r="3" spans="1:11" x14ac:dyDescent="0.25">
      <c r="A3" s="48">
        <v>45447</v>
      </c>
      <c r="B3" s="36" t="s">
        <v>4265</v>
      </c>
      <c r="C3" s="36"/>
      <c r="D3" s="36" t="s">
        <v>4266</v>
      </c>
      <c r="E3" s="36">
        <v>10196</v>
      </c>
      <c r="F3" s="36" t="s">
        <v>4364</v>
      </c>
      <c r="G3" s="36"/>
      <c r="H3" s="36"/>
      <c r="I3" s="36"/>
      <c r="J3" s="36"/>
      <c r="K3" s="36">
        <v>25390</v>
      </c>
    </row>
    <row r="4" spans="1:11" x14ac:dyDescent="0.25">
      <c r="A4" s="48">
        <v>45456</v>
      </c>
      <c r="B4" s="36" t="s">
        <v>4279</v>
      </c>
      <c r="C4" s="36"/>
      <c r="D4" s="36" t="s">
        <v>4280</v>
      </c>
      <c r="E4" s="36">
        <v>2750</v>
      </c>
      <c r="F4" s="36"/>
      <c r="G4" s="36"/>
      <c r="H4" s="36"/>
      <c r="I4" s="36"/>
      <c r="J4" s="36"/>
      <c r="K4" s="36">
        <v>2750</v>
      </c>
    </row>
    <row r="5" spans="1:11" x14ac:dyDescent="0.25">
      <c r="A5" s="48">
        <v>45470</v>
      </c>
      <c r="B5" s="36" t="s">
        <v>4299</v>
      </c>
      <c r="C5" s="36"/>
      <c r="D5" s="36" t="s">
        <v>4422</v>
      </c>
      <c r="E5" s="36">
        <v>10000</v>
      </c>
      <c r="F5" s="36" t="s">
        <v>4359</v>
      </c>
      <c r="G5" s="36" t="s">
        <v>4403</v>
      </c>
      <c r="H5" s="36">
        <v>800</v>
      </c>
      <c r="I5" s="36"/>
      <c r="J5" s="36"/>
      <c r="K5" s="36">
        <v>24650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B29B-2DEF-48E6-AC07-56E9A29452D3}">
  <dimension ref="A1:K18"/>
  <sheetViews>
    <sheetView workbookViewId="0">
      <selection activeCell="E17" sqref="E17"/>
    </sheetView>
  </sheetViews>
  <sheetFormatPr baseColWidth="10" defaultRowHeight="15" x14ac:dyDescent="0.25"/>
  <cols>
    <col min="2" max="2" width="18.5703125" customWidth="1"/>
    <col min="4" max="4" width="25.42578125" customWidth="1"/>
  </cols>
  <sheetData>
    <row r="1" spans="1:11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0" t="s">
        <v>270</v>
      </c>
    </row>
    <row r="2" spans="1:11" x14ac:dyDescent="0.25">
      <c r="A2" s="48">
        <v>45477</v>
      </c>
      <c r="B2" s="36" t="s">
        <v>4307</v>
      </c>
      <c r="C2" s="36"/>
      <c r="D2" s="36" t="s">
        <v>4308</v>
      </c>
      <c r="E2" s="36">
        <v>1750</v>
      </c>
      <c r="F2" s="36" t="s">
        <v>4341</v>
      </c>
      <c r="G2" s="36"/>
      <c r="H2" s="36"/>
      <c r="I2" s="36"/>
      <c r="J2" s="36"/>
      <c r="K2" s="36">
        <v>3500</v>
      </c>
    </row>
    <row r="3" spans="1:11" x14ac:dyDescent="0.25">
      <c r="A3" s="48">
        <v>45479</v>
      </c>
      <c r="B3" s="36" t="s">
        <v>4315</v>
      </c>
      <c r="C3" s="36"/>
      <c r="D3" s="36" t="s">
        <v>4316</v>
      </c>
      <c r="E3" s="36">
        <v>2000</v>
      </c>
      <c r="F3" s="36" t="s">
        <v>4342</v>
      </c>
      <c r="G3" s="36" t="s">
        <v>4410</v>
      </c>
      <c r="H3" s="36" t="s">
        <v>4411</v>
      </c>
      <c r="I3" s="36" t="s">
        <v>4410</v>
      </c>
      <c r="J3" s="36" t="s">
        <v>4434</v>
      </c>
      <c r="K3" s="36">
        <v>20300</v>
      </c>
    </row>
    <row r="4" spans="1:11" x14ac:dyDescent="0.25">
      <c r="A4" s="48">
        <v>45479</v>
      </c>
      <c r="B4" s="36" t="s">
        <v>4317</v>
      </c>
      <c r="C4" s="36"/>
      <c r="D4" s="36" t="s">
        <v>4318</v>
      </c>
      <c r="E4" s="36">
        <v>500</v>
      </c>
      <c r="F4" s="36"/>
      <c r="G4" s="36"/>
      <c r="H4" s="36"/>
      <c r="I4" s="36"/>
      <c r="J4" s="36"/>
      <c r="K4" s="36">
        <v>500</v>
      </c>
    </row>
    <row r="5" spans="1:11" x14ac:dyDescent="0.25">
      <c r="A5" s="48">
        <v>45482</v>
      </c>
      <c r="B5" s="36" t="s">
        <v>4327</v>
      </c>
      <c r="C5" s="36"/>
      <c r="D5" s="36" t="s">
        <v>4328</v>
      </c>
      <c r="E5" s="36">
        <v>5500</v>
      </c>
      <c r="F5" s="36" t="s">
        <v>4369</v>
      </c>
      <c r="G5" s="36" t="s">
        <v>4425</v>
      </c>
      <c r="H5" s="36"/>
      <c r="I5" s="36"/>
      <c r="J5" s="36"/>
      <c r="K5" s="36">
        <v>13500</v>
      </c>
    </row>
    <row r="6" spans="1:11" x14ac:dyDescent="0.25">
      <c r="A6" s="36" t="s">
        <v>4329</v>
      </c>
      <c r="B6" s="36" t="s">
        <v>4330</v>
      </c>
      <c r="C6" s="36"/>
      <c r="D6" s="36" t="s">
        <v>4615</v>
      </c>
      <c r="E6" s="36">
        <v>2700</v>
      </c>
      <c r="F6" s="36" t="s">
        <v>4413</v>
      </c>
      <c r="G6" s="36" t="s">
        <v>4453</v>
      </c>
      <c r="H6" s="36" t="s">
        <v>4501</v>
      </c>
      <c r="I6" s="36"/>
      <c r="J6" s="36"/>
      <c r="K6" s="36">
        <v>15600</v>
      </c>
    </row>
    <row r="7" spans="1:11" x14ac:dyDescent="0.25">
      <c r="A7" s="48">
        <v>45482</v>
      </c>
      <c r="B7" s="36" t="s">
        <v>4331</v>
      </c>
      <c r="C7" s="36"/>
      <c r="D7" s="36" t="s">
        <v>4616</v>
      </c>
      <c r="E7" s="36">
        <v>2790</v>
      </c>
      <c r="F7" s="36" t="s">
        <v>4414</v>
      </c>
      <c r="G7" s="36" t="s">
        <v>4454</v>
      </c>
      <c r="H7" s="36" t="s">
        <v>4502</v>
      </c>
      <c r="I7" s="36"/>
      <c r="J7" s="36"/>
      <c r="K7" s="36">
        <v>15150</v>
      </c>
    </row>
    <row r="8" spans="1:11" x14ac:dyDescent="0.25">
      <c r="A8" s="48">
        <v>45483</v>
      </c>
      <c r="B8" s="36" t="s">
        <v>4332</v>
      </c>
      <c r="C8" s="36"/>
      <c r="D8" s="36" t="s">
        <v>4333</v>
      </c>
      <c r="E8" s="175">
        <v>6100</v>
      </c>
      <c r="F8" s="36" t="s">
        <v>4370</v>
      </c>
      <c r="G8" s="36" t="s">
        <v>4432</v>
      </c>
      <c r="H8" s="36" t="s">
        <v>4457</v>
      </c>
      <c r="I8" s="36"/>
      <c r="J8" s="36"/>
      <c r="K8" s="36">
        <v>16050</v>
      </c>
    </row>
    <row r="9" spans="1:11" x14ac:dyDescent="0.25">
      <c r="A9" s="35">
        <v>45485</v>
      </c>
      <c r="B9" s="36" t="s">
        <v>4334</v>
      </c>
      <c r="C9" s="36"/>
      <c r="D9" s="36" t="s">
        <v>4336</v>
      </c>
      <c r="E9" s="36">
        <v>5000</v>
      </c>
      <c r="F9" s="36" t="s">
        <v>4406</v>
      </c>
      <c r="G9" s="36" t="s">
        <v>4406</v>
      </c>
      <c r="H9" s="36"/>
      <c r="I9" s="36"/>
      <c r="J9" s="36"/>
      <c r="K9" s="36">
        <v>24300</v>
      </c>
    </row>
    <row r="10" spans="1:11" x14ac:dyDescent="0.25">
      <c r="A10" s="48">
        <v>45489</v>
      </c>
      <c r="B10" s="36" t="s">
        <v>4335</v>
      </c>
      <c r="C10" s="36"/>
      <c r="D10" s="36" t="s">
        <v>4337</v>
      </c>
      <c r="E10" s="36">
        <v>3500</v>
      </c>
      <c r="F10" s="36" t="s">
        <v>4340</v>
      </c>
      <c r="G10" s="36"/>
      <c r="H10" s="36"/>
      <c r="I10" s="36"/>
      <c r="J10" s="36"/>
      <c r="K10" s="36">
        <v>8550</v>
      </c>
    </row>
    <row r="11" spans="1:11" ht="45" x14ac:dyDescent="0.25">
      <c r="A11" s="48">
        <v>45493</v>
      </c>
      <c r="B11" s="36" t="s">
        <v>4338</v>
      </c>
      <c r="C11" s="36"/>
      <c r="D11" s="36" t="s">
        <v>1118</v>
      </c>
      <c r="E11" s="36">
        <v>5040</v>
      </c>
      <c r="F11" s="50" t="s">
        <v>4377</v>
      </c>
      <c r="G11" s="36" t="s">
        <v>4397</v>
      </c>
      <c r="H11" s="36"/>
      <c r="I11" s="36"/>
      <c r="J11" s="36"/>
      <c r="K11" s="36">
        <v>12600</v>
      </c>
    </row>
    <row r="12" spans="1:11" x14ac:dyDescent="0.25">
      <c r="A12" s="48">
        <v>45496</v>
      </c>
      <c r="B12" s="36" t="s">
        <v>4339</v>
      </c>
      <c r="C12" s="36"/>
      <c r="D12" s="36" t="s">
        <v>4009</v>
      </c>
      <c r="E12" s="36">
        <v>3300</v>
      </c>
      <c r="F12" s="36" t="s">
        <v>4362</v>
      </c>
      <c r="G12" s="36" t="s">
        <v>4398</v>
      </c>
      <c r="H12" s="36" t="s">
        <v>4442</v>
      </c>
      <c r="I12" s="36" t="s">
        <v>4472</v>
      </c>
      <c r="J12" s="36" t="s">
        <v>4503</v>
      </c>
      <c r="K12" s="36">
        <v>33000</v>
      </c>
    </row>
    <row r="13" spans="1:11" x14ac:dyDescent="0.25">
      <c r="A13" s="48">
        <v>45500</v>
      </c>
      <c r="B13" s="36" t="s">
        <v>4412</v>
      </c>
      <c r="C13" s="36"/>
      <c r="D13" s="36" t="s">
        <v>4141</v>
      </c>
      <c r="E13" s="36">
        <v>8280</v>
      </c>
      <c r="F13" s="36" t="s">
        <v>4405</v>
      </c>
      <c r="G13" s="36" t="s">
        <v>4439</v>
      </c>
      <c r="H13" s="36" t="s">
        <v>4475</v>
      </c>
      <c r="I13" s="36"/>
      <c r="J13" s="36"/>
      <c r="K13" s="36">
        <v>20700</v>
      </c>
    </row>
    <row r="18" spans="9:9" x14ac:dyDescent="0.25">
      <c r="I18" t="s">
        <v>4433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20B9-4FB4-46E3-8246-7B0305D541AB}">
  <dimension ref="A1:K7"/>
  <sheetViews>
    <sheetView workbookViewId="0">
      <selection activeCell="D7" sqref="D7"/>
    </sheetView>
  </sheetViews>
  <sheetFormatPr baseColWidth="10" defaultRowHeight="15" x14ac:dyDescent="0.25"/>
  <cols>
    <col min="2" max="2" width="25" customWidth="1"/>
    <col min="4" max="4" width="37.42578125" customWidth="1"/>
    <col min="7" max="7" width="12.5703125" customWidth="1"/>
  </cols>
  <sheetData>
    <row r="1" spans="1:11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0" t="s">
        <v>270</v>
      </c>
    </row>
    <row r="2" spans="1:11" x14ac:dyDescent="0.25">
      <c r="A2" s="48">
        <v>45526</v>
      </c>
      <c r="B2" s="36" t="s">
        <v>4389</v>
      </c>
      <c r="C2" s="36"/>
      <c r="D2" s="36" t="s">
        <v>4390</v>
      </c>
      <c r="E2" s="36">
        <v>20800</v>
      </c>
      <c r="F2" s="36"/>
      <c r="G2" s="36"/>
      <c r="H2" s="36"/>
      <c r="I2" s="36"/>
      <c r="J2" s="36"/>
      <c r="K2" s="36">
        <v>20800</v>
      </c>
    </row>
    <row r="3" spans="1:11" x14ac:dyDescent="0.25">
      <c r="A3" s="48">
        <v>45528</v>
      </c>
      <c r="B3" s="36" t="s">
        <v>4391</v>
      </c>
      <c r="C3" s="36"/>
      <c r="D3" s="36" t="s">
        <v>4392</v>
      </c>
      <c r="E3" s="36">
        <v>4010</v>
      </c>
      <c r="F3" s="36" t="s">
        <v>4480</v>
      </c>
      <c r="G3" s="36" t="s">
        <v>4484</v>
      </c>
      <c r="H3" s="36" t="s">
        <v>4518</v>
      </c>
      <c r="I3" s="36" t="s">
        <v>4551</v>
      </c>
      <c r="J3" s="36"/>
      <c r="K3" s="36">
        <v>20050</v>
      </c>
    </row>
    <row r="4" spans="1:11" x14ac:dyDescent="0.25">
      <c r="A4" s="48">
        <v>45528</v>
      </c>
      <c r="B4" s="36" t="s">
        <v>4393</v>
      </c>
      <c r="C4" s="36"/>
      <c r="D4" s="36" t="s">
        <v>4394</v>
      </c>
      <c r="E4" s="36">
        <v>3000</v>
      </c>
      <c r="F4" s="36" t="s">
        <v>4415</v>
      </c>
      <c r="G4" s="36"/>
      <c r="H4" s="36"/>
      <c r="I4" s="36"/>
      <c r="J4" s="36"/>
      <c r="K4" s="36">
        <v>6610</v>
      </c>
    </row>
    <row r="5" spans="1:11" x14ac:dyDescent="0.25">
      <c r="A5" s="48">
        <v>45535</v>
      </c>
      <c r="B5" s="36" t="s">
        <v>4678</v>
      </c>
      <c r="C5" s="36"/>
      <c r="D5" s="36" t="s">
        <v>4407</v>
      </c>
      <c r="E5" s="36">
        <v>2880</v>
      </c>
      <c r="F5" s="36" t="s">
        <v>4443</v>
      </c>
      <c r="G5" s="36" t="s">
        <v>3133</v>
      </c>
      <c r="H5" s="36" t="s">
        <v>4482</v>
      </c>
      <c r="I5" s="36" t="s">
        <v>4537</v>
      </c>
      <c r="J5" s="36"/>
      <c r="K5" s="36">
        <v>14400</v>
      </c>
    </row>
    <row r="6" spans="1:11" x14ac:dyDescent="0.25">
      <c r="A6" s="48">
        <v>45535</v>
      </c>
      <c r="B6" s="36" t="s">
        <v>4416</v>
      </c>
      <c r="C6" s="36"/>
      <c r="D6" s="36" t="s">
        <v>4141</v>
      </c>
      <c r="E6" s="36">
        <v>8280</v>
      </c>
      <c r="F6" s="36" t="s">
        <v>4440</v>
      </c>
      <c r="G6" s="36" t="s">
        <v>4499</v>
      </c>
      <c r="H6" s="36"/>
      <c r="I6" s="36"/>
      <c r="J6" s="36"/>
      <c r="K6" s="36">
        <v>20700</v>
      </c>
    </row>
    <row r="7" spans="1:11" x14ac:dyDescent="0.25">
      <c r="A7" s="48">
        <v>45535</v>
      </c>
      <c r="B7" s="36" t="s">
        <v>4418</v>
      </c>
      <c r="C7" s="36"/>
      <c r="D7" s="36" t="s">
        <v>4419</v>
      </c>
      <c r="E7" s="36">
        <v>15720</v>
      </c>
      <c r="F7" s="36" t="s">
        <v>4463</v>
      </c>
      <c r="G7" s="36" t="s">
        <v>4515</v>
      </c>
      <c r="H7" s="36" t="s">
        <v>4538</v>
      </c>
      <c r="I7" s="36"/>
      <c r="J7" s="36"/>
      <c r="K7" s="36">
        <v>39300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9F0B-D424-482F-AEBA-0C440071DDAA}">
  <dimension ref="A1:L7"/>
  <sheetViews>
    <sheetView workbookViewId="0">
      <selection activeCell="J6" sqref="J6"/>
    </sheetView>
  </sheetViews>
  <sheetFormatPr baseColWidth="10" defaultRowHeight="15" x14ac:dyDescent="0.25"/>
  <cols>
    <col min="2" max="2" width="30.85546875" customWidth="1"/>
    <col min="4" max="4" width="39.7109375" customWidth="1"/>
  </cols>
  <sheetData>
    <row r="1" spans="1:12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1" t="s">
        <v>4600</v>
      </c>
      <c r="L1" s="160" t="s">
        <v>270</v>
      </c>
    </row>
    <row r="2" spans="1:12" x14ac:dyDescent="0.25">
      <c r="A2" s="35">
        <v>45541</v>
      </c>
      <c r="B2" s="36" t="s">
        <v>4423</v>
      </c>
      <c r="C2" s="36"/>
      <c r="D2" s="36" t="s">
        <v>4606</v>
      </c>
      <c r="E2" s="36">
        <v>3600</v>
      </c>
      <c r="F2" s="36" t="s">
        <v>4448</v>
      </c>
      <c r="G2" s="36" t="s">
        <v>4494</v>
      </c>
      <c r="H2" s="36" t="s">
        <v>4531</v>
      </c>
      <c r="I2" s="36" t="s">
        <v>4562</v>
      </c>
      <c r="J2" s="36" t="s">
        <v>4607</v>
      </c>
      <c r="K2" s="36"/>
      <c r="L2" s="36">
        <v>18000</v>
      </c>
    </row>
    <row r="3" spans="1:12" x14ac:dyDescent="0.25">
      <c r="A3" s="48">
        <v>45542</v>
      </c>
      <c r="B3" s="36" t="s">
        <v>4424</v>
      </c>
      <c r="C3" s="36"/>
      <c r="D3" s="36" t="s">
        <v>1274</v>
      </c>
      <c r="E3" s="36">
        <v>3000</v>
      </c>
      <c r="F3" s="36" t="s">
        <v>4458</v>
      </c>
      <c r="G3" s="36"/>
      <c r="H3" s="36"/>
      <c r="I3" s="36"/>
      <c r="J3" s="36"/>
      <c r="K3" s="36"/>
      <c r="L3" s="36">
        <v>12150</v>
      </c>
    </row>
    <row r="4" spans="1:12" x14ac:dyDescent="0.25">
      <c r="A4" s="48">
        <v>45549</v>
      </c>
      <c r="B4" s="36" t="s">
        <v>4431</v>
      </c>
      <c r="C4" s="36"/>
      <c r="D4" s="36" t="s">
        <v>3157</v>
      </c>
      <c r="E4" s="36">
        <v>2430</v>
      </c>
      <c r="F4" s="36" t="s">
        <v>4469</v>
      </c>
      <c r="G4" s="36" t="s">
        <v>4500</v>
      </c>
      <c r="H4" s="36" t="s">
        <v>4541</v>
      </c>
      <c r="I4" s="36" t="s">
        <v>4578</v>
      </c>
      <c r="J4" s="36"/>
      <c r="K4" s="36"/>
      <c r="L4" s="36">
        <v>12150</v>
      </c>
    </row>
    <row r="5" spans="1:12" x14ac:dyDescent="0.25">
      <c r="A5" s="48">
        <v>45552</v>
      </c>
      <c r="B5" s="36" t="s">
        <v>4435</v>
      </c>
      <c r="C5" s="36"/>
      <c r="D5" s="36" t="s">
        <v>4455</v>
      </c>
      <c r="E5" s="36">
        <v>5000</v>
      </c>
      <c r="F5" s="36" t="s">
        <v>4465</v>
      </c>
      <c r="G5" s="36" t="s">
        <v>4498</v>
      </c>
      <c r="H5" s="36"/>
      <c r="I5" s="36"/>
      <c r="J5" s="36"/>
      <c r="K5" s="36"/>
      <c r="L5" s="36">
        <v>22500</v>
      </c>
    </row>
    <row r="6" spans="1:12" x14ac:dyDescent="0.25">
      <c r="A6" s="48">
        <v>45555</v>
      </c>
      <c r="B6" s="36" t="s">
        <v>4456</v>
      </c>
      <c r="C6" s="36"/>
      <c r="D6" s="36" t="s">
        <v>4732</v>
      </c>
      <c r="E6" s="36">
        <v>4940</v>
      </c>
      <c r="F6" s="36" t="s">
        <v>4471</v>
      </c>
      <c r="G6" s="36" t="s">
        <v>4516</v>
      </c>
      <c r="H6" s="36" t="s">
        <v>4554</v>
      </c>
      <c r="I6" s="36" t="s">
        <v>4729</v>
      </c>
      <c r="J6" s="36" t="s">
        <v>4593</v>
      </c>
      <c r="K6" s="36"/>
      <c r="L6" s="36">
        <v>30200</v>
      </c>
    </row>
    <row r="7" spans="1:12" x14ac:dyDescent="0.25">
      <c r="A7" s="48">
        <v>45563</v>
      </c>
      <c r="B7" s="36" t="s">
        <v>4441</v>
      </c>
      <c r="C7" s="36"/>
      <c r="D7" s="36" t="s">
        <v>4599</v>
      </c>
      <c r="E7" s="36">
        <v>3150</v>
      </c>
      <c r="F7" s="36" t="s">
        <v>4463</v>
      </c>
      <c r="G7" s="36" t="s">
        <v>4481</v>
      </c>
      <c r="H7" s="36" t="s">
        <v>4589</v>
      </c>
      <c r="I7" s="36" t="s">
        <v>4550</v>
      </c>
      <c r="J7" s="36" t="s">
        <v>4590</v>
      </c>
      <c r="K7" s="36" t="s">
        <v>4601</v>
      </c>
      <c r="L7" s="36">
        <v>31500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0E91-F993-4E53-8E9F-B1B4ADD86DC3}">
  <dimension ref="A1:R12"/>
  <sheetViews>
    <sheetView workbookViewId="0">
      <selection activeCell="A6" sqref="A6:M6"/>
    </sheetView>
  </sheetViews>
  <sheetFormatPr baseColWidth="10" defaultRowHeight="15" x14ac:dyDescent="0.25"/>
  <cols>
    <col min="2" max="2" width="26.140625" customWidth="1"/>
    <col min="4" max="4" width="33.85546875" customWidth="1"/>
    <col min="7" max="7" width="12.42578125" customWidth="1"/>
    <col min="12" max="12" width="17.28515625" customWidth="1"/>
  </cols>
  <sheetData>
    <row r="1" spans="1:18" x14ac:dyDescent="0.25">
      <c r="A1" s="174" t="s">
        <v>9</v>
      </c>
      <c r="B1" s="156" t="s">
        <v>0</v>
      </c>
      <c r="C1" s="156" t="s">
        <v>271</v>
      </c>
      <c r="D1" s="156" t="s">
        <v>4010</v>
      </c>
      <c r="E1" s="156" t="s">
        <v>3905</v>
      </c>
      <c r="F1" s="156" t="s">
        <v>3906</v>
      </c>
      <c r="G1" s="156" t="s">
        <v>4258</v>
      </c>
      <c r="H1" s="156" t="s">
        <v>4259</v>
      </c>
      <c r="I1" s="156" t="s">
        <v>4260</v>
      </c>
      <c r="J1" s="157" t="s">
        <v>4261</v>
      </c>
      <c r="K1" s="157" t="s">
        <v>270</v>
      </c>
      <c r="L1" s="184" t="s">
        <v>3317</v>
      </c>
      <c r="M1" s="184" t="s">
        <v>3390</v>
      </c>
    </row>
    <row r="2" spans="1:18" x14ac:dyDescent="0.25">
      <c r="A2" s="176">
        <v>45572</v>
      </c>
      <c r="B2" s="4" t="s">
        <v>4451</v>
      </c>
      <c r="C2" s="4"/>
      <c r="D2" s="4" t="s">
        <v>4452</v>
      </c>
      <c r="E2" s="4">
        <v>7650</v>
      </c>
      <c r="F2" s="4" t="s">
        <v>4492</v>
      </c>
      <c r="G2" s="4"/>
      <c r="H2" s="4"/>
      <c r="I2" s="4"/>
      <c r="J2" s="4"/>
      <c r="K2" s="55">
        <v>15300</v>
      </c>
      <c r="L2" s="183"/>
      <c r="M2" s="183"/>
    </row>
    <row r="3" spans="1:18" x14ac:dyDescent="0.25">
      <c r="A3" s="176">
        <v>45576</v>
      </c>
      <c r="B3" s="4" t="s">
        <v>4459</v>
      </c>
      <c r="C3" s="4"/>
      <c r="D3" s="4" t="s">
        <v>4483</v>
      </c>
      <c r="E3" s="4">
        <v>1500</v>
      </c>
      <c r="F3" s="4" t="s">
        <v>4473</v>
      </c>
      <c r="G3" s="4">
        <v>2050</v>
      </c>
      <c r="H3" s="4"/>
      <c r="I3" s="4"/>
      <c r="J3" s="4"/>
      <c r="K3" s="55">
        <v>4450</v>
      </c>
      <c r="L3" s="1"/>
      <c r="M3" s="1"/>
    </row>
    <row r="4" spans="1:18" x14ac:dyDescent="0.25">
      <c r="A4" s="176">
        <v>45577</v>
      </c>
      <c r="B4" s="4" t="s">
        <v>4461</v>
      </c>
      <c r="C4" s="4"/>
      <c r="D4" s="4" t="s">
        <v>4487</v>
      </c>
      <c r="E4" s="4">
        <v>12750</v>
      </c>
      <c r="F4" s="4" t="s">
        <v>4488</v>
      </c>
      <c r="G4" s="4"/>
      <c r="H4" s="4"/>
      <c r="I4" s="4"/>
      <c r="J4" s="4"/>
      <c r="K4" s="55">
        <v>12750</v>
      </c>
      <c r="L4" s="1"/>
      <c r="M4" s="1"/>
    </row>
    <row r="5" spans="1:18" x14ac:dyDescent="0.25">
      <c r="A5" s="176">
        <v>45577</v>
      </c>
      <c r="B5" s="4" t="s">
        <v>4462</v>
      </c>
      <c r="C5" s="4"/>
      <c r="D5" s="4" t="s">
        <v>4485</v>
      </c>
      <c r="E5" s="4">
        <v>5000</v>
      </c>
      <c r="F5" s="4" t="s">
        <v>4486</v>
      </c>
      <c r="G5" s="4" t="s">
        <v>4524</v>
      </c>
      <c r="H5" s="4"/>
      <c r="I5" s="4"/>
      <c r="J5" s="4"/>
      <c r="K5" s="55">
        <v>12550</v>
      </c>
      <c r="L5" s="1"/>
      <c r="M5" s="1"/>
    </row>
    <row r="6" spans="1:18" x14ac:dyDescent="0.25">
      <c r="A6" s="187">
        <v>45581</v>
      </c>
      <c r="B6" s="10" t="s">
        <v>4464</v>
      </c>
      <c r="C6" s="10"/>
      <c r="D6" s="10" t="s">
        <v>4626</v>
      </c>
      <c r="E6" s="10">
        <v>6000</v>
      </c>
      <c r="F6" s="10" t="s">
        <v>4493</v>
      </c>
      <c r="G6" s="10" t="s">
        <v>4495</v>
      </c>
      <c r="H6" s="10" t="s">
        <v>4557</v>
      </c>
      <c r="I6" s="10"/>
      <c r="J6" s="10"/>
      <c r="K6" s="66">
        <v>38500</v>
      </c>
      <c r="L6" s="10" t="s">
        <v>4685</v>
      </c>
      <c r="M6" s="10" t="s">
        <v>4676</v>
      </c>
      <c r="R6" t="s">
        <v>4684</v>
      </c>
    </row>
    <row r="7" spans="1:18" x14ac:dyDescent="0.25">
      <c r="A7" s="176">
        <v>45584</v>
      </c>
      <c r="B7" s="4" t="s">
        <v>4466</v>
      </c>
      <c r="C7" s="4"/>
      <c r="D7" s="4" t="s">
        <v>4467</v>
      </c>
      <c r="E7" s="4">
        <v>10000</v>
      </c>
      <c r="F7" s="4" t="s">
        <v>4504</v>
      </c>
      <c r="G7" s="4" t="s">
        <v>4558</v>
      </c>
      <c r="H7" s="4" t="s">
        <v>4653</v>
      </c>
      <c r="I7" s="4"/>
      <c r="J7" s="4"/>
      <c r="K7" s="55">
        <v>35000</v>
      </c>
      <c r="L7" s="4"/>
      <c r="M7" s="1"/>
    </row>
    <row r="8" spans="1:18" x14ac:dyDescent="0.25">
      <c r="A8" s="187">
        <v>45584</v>
      </c>
      <c r="B8" s="10" t="s">
        <v>4468</v>
      </c>
      <c r="C8" s="10"/>
      <c r="D8" s="10" t="s">
        <v>995</v>
      </c>
      <c r="E8" s="10">
        <v>2500</v>
      </c>
      <c r="F8" s="10" t="s">
        <v>4659</v>
      </c>
      <c r="G8" s="10"/>
      <c r="H8" s="10"/>
      <c r="I8" s="10"/>
      <c r="J8" s="10"/>
      <c r="K8" s="66">
        <v>11700</v>
      </c>
      <c r="L8" s="10"/>
      <c r="M8" s="10"/>
    </row>
    <row r="9" spans="1:18" x14ac:dyDescent="0.25">
      <c r="A9" s="181">
        <v>45584</v>
      </c>
      <c r="B9" s="12" t="s">
        <v>4470</v>
      </c>
      <c r="C9" s="12"/>
      <c r="D9" s="12" t="s">
        <v>4610</v>
      </c>
      <c r="E9" s="12">
        <v>1220</v>
      </c>
      <c r="F9" s="12" t="s">
        <v>4511</v>
      </c>
      <c r="G9" s="12" t="s">
        <v>4548</v>
      </c>
      <c r="H9" s="12" t="s">
        <v>4609</v>
      </c>
      <c r="I9" s="12"/>
      <c r="J9" s="12"/>
      <c r="K9" s="182">
        <v>10100</v>
      </c>
      <c r="L9" s="1"/>
      <c r="M9" s="1"/>
    </row>
    <row r="10" spans="1:18" x14ac:dyDescent="0.25">
      <c r="A10" s="178" t="s">
        <v>4476</v>
      </c>
      <c r="B10" s="22" t="s">
        <v>4477</v>
      </c>
      <c r="C10" s="22"/>
      <c r="D10" s="22" t="s">
        <v>4478</v>
      </c>
      <c r="E10" s="22">
        <v>11875</v>
      </c>
      <c r="F10" s="22"/>
      <c r="G10" s="22"/>
      <c r="H10" s="22"/>
      <c r="I10" s="22"/>
      <c r="J10" s="22"/>
      <c r="K10" s="179">
        <v>29688</v>
      </c>
      <c r="L10" s="68"/>
      <c r="M10" s="68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DB8E-FC9E-4AF5-A7AC-915C30818DF1}">
  <dimension ref="A1:P7"/>
  <sheetViews>
    <sheetView workbookViewId="0">
      <selection activeCell="P4" sqref="P4"/>
    </sheetView>
  </sheetViews>
  <sheetFormatPr baseColWidth="10" defaultRowHeight="15" x14ac:dyDescent="0.25"/>
  <cols>
    <col min="2" max="2" width="24.5703125" customWidth="1"/>
    <col min="4" max="4" width="42" customWidth="1"/>
    <col min="16" max="16" width="25.7109375" customWidth="1"/>
  </cols>
  <sheetData>
    <row r="1" spans="1:16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4779</v>
      </c>
      <c r="J1" s="160" t="s">
        <v>4260</v>
      </c>
      <c r="K1" s="161" t="s">
        <v>4261</v>
      </c>
      <c r="L1" s="161" t="s">
        <v>4600</v>
      </c>
      <c r="M1" s="161" t="s">
        <v>4976</v>
      </c>
      <c r="N1" s="161" t="s">
        <v>4984</v>
      </c>
      <c r="O1" s="160" t="s">
        <v>270</v>
      </c>
      <c r="P1" s="180" t="s">
        <v>4491</v>
      </c>
    </row>
    <row r="2" spans="1:16" x14ac:dyDescent="0.25">
      <c r="A2" s="48">
        <v>45628</v>
      </c>
      <c r="B2" s="36" t="s">
        <v>4526</v>
      </c>
      <c r="C2" s="36"/>
      <c r="D2" s="36" t="s">
        <v>4552</v>
      </c>
      <c r="E2" s="36">
        <v>4600</v>
      </c>
      <c r="F2" s="36" t="s">
        <v>4592</v>
      </c>
      <c r="G2" s="36" t="s">
        <v>4670</v>
      </c>
      <c r="H2" s="36" t="s">
        <v>4741</v>
      </c>
      <c r="I2" s="36" t="s">
        <v>4790</v>
      </c>
      <c r="J2" s="36"/>
      <c r="K2" s="36"/>
      <c r="L2" s="36"/>
      <c r="M2" s="36"/>
      <c r="N2" s="36"/>
      <c r="O2" s="36">
        <v>26500</v>
      </c>
      <c r="P2" s="36" t="s">
        <v>4535</v>
      </c>
    </row>
    <row r="3" spans="1:16" x14ac:dyDescent="0.25">
      <c r="A3" s="48">
        <v>45629</v>
      </c>
      <c r="B3" s="36" t="s">
        <v>4527</v>
      </c>
      <c r="C3" s="36"/>
      <c r="D3" s="36" t="s">
        <v>3991</v>
      </c>
      <c r="E3" s="36">
        <v>5000</v>
      </c>
      <c r="F3" s="36" t="s">
        <v>4588</v>
      </c>
      <c r="G3" s="36" t="s">
        <v>4629</v>
      </c>
      <c r="H3" s="36" t="s">
        <v>4667</v>
      </c>
      <c r="I3" s="36" t="s">
        <v>4780</v>
      </c>
      <c r="J3" s="36" t="s">
        <v>4771</v>
      </c>
      <c r="K3" s="36" t="s">
        <v>4803</v>
      </c>
      <c r="L3" s="36"/>
      <c r="M3" s="36"/>
      <c r="N3" s="36"/>
      <c r="O3" s="36">
        <v>28000</v>
      </c>
      <c r="P3" s="36"/>
    </row>
    <row r="4" spans="1:16" x14ac:dyDescent="0.25">
      <c r="A4" s="48">
        <v>45635</v>
      </c>
      <c r="B4" s="36" t="s">
        <v>4532</v>
      </c>
      <c r="C4" s="36"/>
      <c r="D4" s="36" t="s">
        <v>4533</v>
      </c>
      <c r="E4" s="36">
        <v>2000</v>
      </c>
      <c r="F4" s="36" t="s">
        <v>4545</v>
      </c>
      <c r="G4" s="36" t="s">
        <v>4628</v>
      </c>
      <c r="H4" s="36" t="s">
        <v>2441</v>
      </c>
      <c r="I4" s="36"/>
      <c r="J4" s="36" t="s">
        <v>4682</v>
      </c>
      <c r="K4" s="36" t="s">
        <v>1477</v>
      </c>
      <c r="L4" s="36" t="s">
        <v>4837</v>
      </c>
      <c r="M4" s="36" t="s">
        <v>4438</v>
      </c>
      <c r="N4" s="36">
        <v>1600</v>
      </c>
      <c r="O4" s="36">
        <v>35000</v>
      </c>
      <c r="P4" s="36" t="s">
        <v>4534</v>
      </c>
    </row>
    <row r="5" spans="1:16" x14ac:dyDescent="0.25">
      <c r="A5" s="48">
        <v>45640</v>
      </c>
      <c r="B5" s="36" t="s">
        <v>4539</v>
      </c>
      <c r="C5" s="36"/>
      <c r="D5" s="36" t="s">
        <v>4842</v>
      </c>
      <c r="E5" s="36">
        <v>6200</v>
      </c>
      <c r="F5" s="36" t="s">
        <v>4555</v>
      </c>
      <c r="G5" s="36" t="s">
        <v>4649</v>
      </c>
      <c r="H5" s="36" t="s">
        <v>4843</v>
      </c>
      <c r="I5" s="36"/>
      <c r="J5" s="36"/>
      <c r="K5" s="36"/>
      <c r="L5" s="36"/>
      <c r="M5" s="36"/>
      <c r="N5" s="36"/>
      <c r="O5" s="36">
        <v>17950</v>
      </c>
      <c r="P5" s="36" t="s">
        <v>4540</v>
      </c>
    </row>
    <row r="6" spans="1:16" x14ac:dyDescent="0.25">
      <c r="A6" s="48">
        <v>45640</v>
      </c>
      <c r="B6" s="36" t="s">
        <v>4543</v>
      </c>
      <c r="C6" s="36"/>
      <c r="D6" s="36" t="s">
        <v>4547</v>
      </c>
      <c r="E6" s="36">
        <v>13400</v>
      </c>
      <c r="F6" s="159">
        <v>23600</v>
      </c>
      <c r="G6" s="36"/>
      <c r="H6" s="36"/>
      <c r="I6" s="36"/>
      <c r="J6" s="36"/>
      <c r="K6" s="36"/>
      <c r="L6" s="36"/>
      <c r="M6" s="36"/>
      <c r="N6" s="36"/>
      <c r="O6" s="36">
        <v>37000</v>
      </c>
      <c r="P6" s="36"/>
    </row>
    <row r="7" spans="1:16" x14ac:dyDescent="0.25">
      <c r="A7" s="48">
        <v>45647</v>
      </c>
      <c r="B7" s="36" t="s">
        <v>4553</v>
      </c>
      <c r="C7" s="36"/>
      <c r="D7" s="36" t="s">
        <v>4927</v>
      </c>
      <c r="E7" s="36">
        <v>2800</v>
      </c>
      <c r="F7" s="36" t="s">
        <v>4572</v>
      </c>
      <c r="G7" s="36" t="s">
        <v>4655</v>
      </c>
      <c r="H7" s="36" t="s">
        <v>4681</v>
      </c>
      <c r="I7" s="36"/>
      <c r="J7" s="36" t="s">
        <v>4754</v>
      </c>
      <c r="K7" s="36" t="s">
        <v>4928</v>
      </c>
      <c r="L7" s="36"/>
      <c r="M7" s="36"/>
      <c r="N7" s="36"/>
      <c r="O7" s="36">
        <v>14000</v>
      </c>
      <c r="P7" s="36" t="s">
        <v>4540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51D0-23AC-468E-8C56-75C761AC39E6}">
  <dimension ref="A1:L16"/>
  <sheetViews>
    <sheetView workbookViewId="0">
      <selection activeCell="B15" sqref="B15"/>
    </sheetView>
  </sheetViews>
  <sheetFormatPr baseColWidth="10" defaultRowHeight="15" x14ac:dyDescent="0.25"/>
  <cols>
    <col min="1" max="1" width="15.28515625" customWidth="1"/>
    <col min="2" max="2" width="32" customWidth="1"/>
    <col min="4" max="4" width="38.28515625" customWidth="1"/>
    <col min="11" max="11" width="18.7109375" customWidth="1"/>
    <col min="12" max="12" width="28" customWidth="1"/>
  </cols>
  <sheetData>
    <row r="1" spans="1:12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0" t="s">
        <v>270</v>
      </c>
      <c r="L1" s="180" t="s">
        <v>4491</v>
      </c>
    </row>
    <row r="2" spans="1:12" x14ac:dyDescent="0.25">
      <c r="A2" s="48">
        <v>45668</v>
      </c>
      <c r="B2" s="36" t="s">
        <v>4564</v>
      </c>
      <c r="C2" s="36"/>
      <c r="D2" s="36" t="s">
        <v>4565</v>
      </c>
      <c r="E2" s="36">
        <v>4000</v>
      </c>
      <c r="F2" s="36" t="s">
        <v>4644</v>
      </c>
      <c r="G2" s="36" t="s">
        <v>4691</v>
      </c>
      <c r="H2" s="36" t="s">
        <v>4740</v>
      </c>
      <c r="I2" s="36" t="s">
        <v>4774</v>
      </c>
      <c r="J2" s="36"/>
      <c r="K2" s="36">
        <v>16450</v>
      </c>
      <c r="L2" s="36" t="s">
        <v>4540</v>
      </c>
    </row>
    <row r="3" spans="1:12" x14ac:dyDescent="0.25">
      <c r="A3" s="48">
        <v>45668</v>
      </c>
      <c r="B3" s="36" t="s">
        <v>4627</v>
      </c>
      <c r="C3" s="36"/>
      <c r="D3" s="36" t="s">
        <v>4567</v>
      </c>
      <c r="E3" s="36">
        <v>5000</v>
      </c>
      <c r="F3" s="36" t="s">
        <v>4637</v>
      </c>
      <c r="G3" s="36" t="s">
        <v>4694</v>
      </c>
      <c r="H3" s="36" t="s">
        <v>4758</v>
      </c>
      <c r="I3" s="36" t="s">
        <v>4795</v>
      </c>
      <c r="J3" s="36"/>
      <c r="K3" s="36">
        <v>23000</v>
      </c>
      <c r="L3" s="36"/>
    </row>
    <row r="4" spans="1:12" x14ac:dyDescent="0.25">
      <c r="A4" s="48">
        <v>45668</v>
      </c>
      <c r="B4" s="36" t="s">
        <v>4568</v>
      </c>
      <c r="C4" s="36"/>
      <c r="D4" s="36" t="s">
        <v>4569</v>
      </c>
      <c r="E4" s="36">
        <v>3400</v>
      </c>
      <c r="F4" s="36" t="s">
        <v>4636</v>
      </c>
      <c r="G4" s="36"/>
      <c r="H4" s="36"/>
      <c r="I4" s="36"/>
      <c r="J4" s="36"/>
      <c r="K4" s="36">
        <v>8499</v>
      </c>
      <c r="L4" s="36"/>
    </row>
    <row r="5" spans="1:12" ht="30" x14ac:dyDescent="0.25">
      <c r="A5" s="48">
        <v>45675</v>
      </c>
      <c r="B5" s="36" t="s">
        <v>4579</v>
      </c>
      <c r="C5" s="36"/>
      <c r="D5" s="50" t="s">
        <v>4580</v>
      </c>
      <c r="E5" s="36">
        <v>9600</v>
      </c>
      <c r="F5" s="36" t="s">
        <v>4651</v>
      </c>
      <c r="G5" s="36" t="s">
        <v>4716</v>
      </c>
      <c r="H5" s="36" t="s">
        <v>4756</v>
      </c>
      <c r="I5" s="36"/>
      <c r="J5" s="36"/>
      <c r="K5" s="36" t="s">
        <v>4581</v>
      </c>
      <c r="L5" s="36" t="s">
        <v>4540</v>
      </c>
    </row>
    <row r="6" spans="1:12" x14ac:dyDescent="0.25">
      <c r="A6" s="48">
        <v>45675</v>
      </c>
      <c r="B6" s="36" t="s">
        <v>4582</v>
      </c>
      <c r="C6" s="36"/>
      <c r="D6" s="36" t="s">
        <v>4583</v>
      </c>
      <c r="E6" s="36">
        <v>10000</v>
      </c>
      <c r="F6" s="36" t="s">
        <v>4698</v>
      </c>
      <c r="G6" s="36"/>
      <c r="H6" s="36"/>
      <c r="I6" s="36"/>
      <c r="J6" s="36"/>
      <c r="K6" s="36">
        <v>20990</v>
      </c>
      <c r="L6" s="36"/>
    </row>
    <row r="7" spans="1:12" ht="30" x14ac:dyDescent="0.25">
      <c r="A7" s="48">
        <v>45675</v>
      </c>
      <c r="B7" s="36" t="s">
        <v>4585</v>
      </c>
      <c r="C7" s="36"/>
      <c r="D7" s="50" t="s">
        <v>4586</v>
      </c>
      <c r="E7" s="36">
        <v>4490</v>
      </c>
      <c r="F7" s="36" t="s">
        <v>4671</v>
      </c>
      <c r="G7" s="36" t="s">
        <v>4706</v>
      </c>
      <c r="H7" s="36" t="s">
        <v>4759</v>
      </c>
      <c r="I7" s="36" t="s">
        <v>4833</v>
      </c>
      <c r="J7" s="36"/>
      <c r="K7" s="36">
        <v>22450</v>
      </c>
      <c r="L7" s="36"/>
    </row>
    <row r="8" spans="1:12" x14ac:dyDescent="0.25">
      <c r="A8" s="48">
        <v>45682</v>
      </c>
      <c r="B8" s="36" t="s">
        <v>4658</v>
      </c>
      <c r="C8" s="36"/>
      <c r="D8" s="36" t="s">
        <v>4763</v>
      </c>
      <c r="E8" s="36">
        <v>3000</v>
      </c>
      <c r="F8" s="36" t="s">
        <v>4662</v>
      </c>
      <c r="G8" s="36" t="s">
        <v>4663</v>
      </c>
      <c r="H8" s="36" t="s">
        <v>4721</v>
      </c>
      <c r="I8" s="36" t="s">
        <v>4733</v>
      </c>
      <c r="J8" s="36" t="s">
        <v>4762</v>
      </c>
      <c r="K8" s="36">
        <v>15000</v>
      </c>
      <c r="L8" s="36"/>
    </row>
    <row r="9" spans="1:12" x14ac:dyDescent="0.25">
      <c r="A9" s="48">
        <v>45684</v>
      </c>
      <c r="B9" s="36" t="s">
        <v>4594</v>
      </c>
      <c r="C9" s="36"/>
      <c r="D9" s="36" t="s">
        <v>4595</v>
      </c>
      <c r="E9" s="36">
        <v>13000</v>
      </c>
      <c r="F9" s="36" t="s">
        <v>4657</v>
      </c>
      <c r="G9" s="36" t="s">
        <v>4715</v>
      </c>
      <c r="H9" s="36" t="s">
        <v>4764</v>
      </c>
      <c r="I9" s="36" t="s">
        <v>4804</v>
      </c>
      <c r="J9" s="36" t="s">
        <v>4846</v>
      </c>
      <c r="K9" s="36" t="s">
        <v>4596</v>
      </c>
      <c r="L9" s="36" t="s">
        <v>4597</v>
      </c>
    </row>
    <row r="10" spans="1:12" x14ac:dyDescent="0.25">
      <c r="A10" s="48">
        <v>45686</v>
      </c>
      <c r="B10" s="36" t="s">
        <v>4598</v>
      </c>
      <c r="C10" s="36"/>
      <c r="D10" s="36" t="s">
        <v>4867</v>
      </c>
      <c r="E10" s="36">
        <v>11200</v>
      </c>
      <c r="F10" s="159" t="s">
        <v>4695</v>
      </c>
      <c r="G10" s="36" t="s">
        <v>4839</v>
      </c>
      <c r="H10" s="36" t="s">
        <v>4839</v>
      </c>
      <c r="I10" s="36" t="s">
        <v>4865</v>
      </c>
      <c r="J10" s="36" t="s">
        <v>4866</v>
      </c>
      <c r="K10" s="36">
        <v>28000</v>
      </c>
      <c r="L10" s="36"/>
    </row>
    <row r="11" spans="1:12" x14ac:dyDescent="0.25">
      <c r="A11" s="48">
        <v>45688</v>
      </c>
      <c r="B11" s="36" t="s">
        <v>4602</v>
      </c>
      <c r="C11" s="36"/>
      <c r="D11" s="36" t="s">
        <v>4603</v>
      </c>
      <c r="E11" s="36">
        <v>11400</v>
      </c>
      <c r="F11" s="36" t="s">
        <v>4669</v>
      </c>
      <c r="G11" s="36" t="s">
        <v>4683</v>
      </c>
      <c r="H11" s="36"/>
      <c r="I11" s="36"/>
      <c r="J11" s="36"/>
      <c r="K11" s="36" t="s">
        <v>4604</v>
      </c>
      <c r="L11" s="36" t="s">
        <v>4597</v>
      </c>
    </row>
    <row r="12" spans="1:12" x14ac:dyDescent="0.25">
      <c r="A12" s="48">
        <v>45688</v>
      </c>
      <c r="B12" s="36" t="s">
        <v>4605</v>
      </c>
      <c r="C12" s="36"/>
      <c r="D12" s="36" t="s">
        <v>5003</v>
      </c>
      <c r="E12" s="36">
        <v>3000</v>
      </c>
      <c r="F12" s="36" t="s">
        <v>4686</v>
      </c>
      <c r="G12" s="36" t="s">
        <v>2528</v>
      </c>
      <c r="H12" s="36" t="s">
        <v>4760</v>
      </c>
      <c r="I12" s="36" t="s">
        <v>4938</v>
      </c>
      <c r="J12" s="36" t="s">
        <v>5004</v>
      </c>
      <c r="K12" s="36">
        <v>15000</v>
      </c>
      <c r="L12" s="36" t="s">
        <v>4540</v>
      </c>
    </row>
    <row r="16" spans="1:12" x14ac:dyDescent="0.25">
      <c r="B16" t="s">
        <v>4911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C460-1112-49E1-BD50-195810DC6B60}">
  <dimension ref="A1:O12"/>
  <sheetViews>
    <sheetView workbookViewId="0">
      <selection activeCell="K4" sqref="K4"/>
    </sheetView>
  </sheetViews>
  <sheetFormatPr baseColWidth="10" defaultRowHeight="15" x14ac:dyDescent="0.25"/>
  <cols>
    <col min="2" max="2" width="29.42578125" customWidth="1"/>
    <col min="4" max="4" width="40" customWidth="1"/>
    <col min="12" max="12" width="28.5703125" customWidth="1"/>
    <col min="13" max="13" width="15" customWidth="1"/>
  </cols>
  <sheetData>
    <row r="1" spans="1:15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1" t="s">
        <v>4600</v>
      </c>
      <c r="L1" s="160" t="s">
        <v>270</v>
      </c>
      <c r="M1" s="180" t="s">
        <v>4491</v>
      </c>
    </row>
    <row r="2" spans="1:15" x14ac:dyDescent="0.25">
      <c r="A2" s="48">
        <v>45719</v>
      </c>
      <c r="B2" s="36" t="s">
        <v>4664</v>
      </c>
      <c r="C2" s="36"/>
      <c r="D2" s="36" t="s">
        <v>4665</v>
      </c>
      <c r="E2" s="36">
        <v>3100</v>
      </c>
      <c r="F2" s="36" t="s">
        <v>4730</v>
      </c>
      <c r="G2" s="36" t="s">
        <v>4770</v>
      </c>
      <c r="H2" s="36" t="s">
        <v>4814</v>
      </c>
      <c r="I2" s="36" t="s">
        <v>4844</v>
      </c>
      <c r="J2" s="36" t="s">
        <v>4892</v>
      </c>
      <c r="K2" s="36"/>
      <c r="L2" s="36" t="s">
        <v>4666</v>
      </c>
      <c r="M2" s="36" t="s">
        <v>4540</v>
      </c>
      <c r="N2" s="36"/>
    </row>
    <row r="3" spans="1:15" x14ac:dyDescent="0.25">
      <c r="A3" s="48">
        <v>45724</v>
      </c>
      <c r="B3" s="36" t="s">
        <v>4687</v>
      </c>
      <c r="C3" s="36"/>
      <c r="D3" s="36" t="s">
        <v>5036</v>
      </c>
      <c r="E3" s="36">
        <v>3900</v>
      </c>
      <c r="F3" s="36" t="s">
        <v>4737</v>
      </c>
      <c r="G3" s="36" t="s">
        <v>4772</v>
      </c>
      <c r="H3" s="36" t="s">
        <v>4821</v>
      </c>
      <c r="I3" s="36" t="s">
        <v>4873</v>
      </c>
      <c r="J3" s="36" t="s">
        <v>5037</v>
      </c>
      <c r="K3" s="36"/>
      <c r="L3" s="36" t="s">
        <v>4688</v>
      </c>
      <c r="M3" s="36" t="s">
        <v>4540</v>
      </c>
      <c r="N3" s="36"/>
    </row>
    <row r="4" spans="1:15" x14ac:dyDescent="0.25">
      <c r="A4" s="48">
        <v>45731</v>
      </c>
      <c r="B4" s="36" t="s">
        <v>4696</v>
      </c>
      <c r="C4" s="36"/>
      <c r="D4" s="36" t="s">
        <v>4141</v>
      </c>
      <c r="E4" s="36">
        <v>4600</v>
      </c>
      <c r="F4" s="36" t="s">
        <v>4789</v>
      </c>
      <c r="G4" s="36" t="s">
        <v>4840</v>
      </c>
      <c r="H4" s="36"/>
      <c r="I4" s="36" t="s">
        <v>4876</v>
      </c>
      <c r="J4" s="36" t="s">
        <v>4907</v>
      </c>
      <c r="K4" s="36" t="s">
        <v>4957</v>
      </c>
      <c r="L4" s="36">
        <v>23000</v>
      </c>
      <c r="M4" s="36" t="s">
        <v>4597</v>
      </c>
      <c r="N4" s="36"/>
    </row>
    <row r="5" spans="1:15" x14ac:dyDescent="0.25">
      <c r="A5" s="48">
        <v>45731</v>
      </c>
      <c r="B5" s="36" t="s">
        <v>4697</v>
      </c>
      <c r="C5" s="36"/>
      <c r="D5" s="36" t="s">
        <v>110</v>
      </c>
      <c r="E5" s="36">
        <v>6100</v>
      </c>
      <c r="F5" s="36"/>
      <c r="G5" s="36"/>
      <c r="H5" s="36"/>
      <c r="I5" s="36"/>
      <c r="J5" s="36"/>
      <c r="K5" s="36"/>
      <c r="L5" s="36">
        <v>6100</v>
      </c>
      <c r="M5" s="36"/>
      <c r="N5" s="36"/>
    </row>
    <row r="6" spans="1:15" x14ac:dyDescent="0.25">
      <c r="A6" s="48">
        <v>45731</v>
      </c>
      <c r="B6" s="36" t="s">
        <v>4699</v>
      </c>
      <c r="C6" s="36"/>
      <c r="D6" s="36" t="s">
        <v>4700</v>
      </c>
      <c r="E6" s="36">
        <v>1600</v>
      </c>
      <c r="F6" s="36" t="s">
        <v>4748</v>
      </c>
      <c r="G6" s="36" t="s">
        <v>4792</v>
      </c>
      <c r="H6" s="36" t="s">
        <v>4827</v>
      </c>
      <c r="I6" s="36" t="s">
        <v>4904</v>
      </c>
      <c r="J6" s="36"/>
      <c r="K6" s="36"/>
      <c r="L6" s="36">
        <v>8000</v>
      </c>
      <c r="M6" s="36"/>
      <c r="N6" s="36"/>
    </row>
    <row r="7" spans="1:15" x14ac:dyDescent="0.25">
      <c r="A7" s="9" t="s">
        <v>4702</v>
      </c>
      <c r="B7" s="9" t="s">
        <v>4703</v>
      </c>
      <c r="C7" s="9"/>
      <c r="D7" s="9" t="s">
        <v>4704</v>
      </c>
      <c r="E7" s="9">
        <v>6000</v>
      </c>
      <c r="F7" s="9" t="s">
        <v>4809</v>
      </c>
      <c r="G7" s="9"/>
      <c r="H7" s="9"/>
      <c r="I7" s="9"/>
      <c r="J7" s="9"/>
      <c r="K7" s="9"/>
      <c r="L7" s="9" t="s">
        <v>4705</v>
      </c>
      <c r="M7" s="9" t="s">
        <v>4597</v>
      </c>
      <c r="N7" s="9"/>
      <c r="O7" s="9" t="s">
        <v>4906</v>
      </c>
    </row>
    <row r="8" spans="1:15" x14ac:dyDescent="0.25">
      <c r="A8" s="48">
        <v>45738</v>
      </c>
      <c r="B8" s="36" t="s">
        <v>4711</v>
      </c>
      <c r="C8" s="36"/>
      <c r="D8" s="36" t="s">
        <v>4901</v>
      </c>
      <c r="E8" s="36">
        <v>3000</v>
      </c>
      <c r="F8" s="36" t="s">
        <v>4734</v>
      </c>
      <c r="G8" s="36" t="s">
        <v>4801</v>
      </c>
      <c r="H8" s="36" t="s">
        <v>4829</v>
      </c>
      <c r="I8" s="36" t="s">
        <v>4886</v>
      </c>
      <c r="J8" s="36"/>
      <c r="K8" s="36"/>
      <c r="L8" s="36">
        <v>15000</v>
      </c>
      <c r="M8" t="s">
        <v>4540</v>
      </c>
    </row>
    <row r="9" spans="1:15" x14ac:dyDescent="0.25">
      <c r="A9" s="48">
        <v>45742</v>
      </c>
      <c r="B9" s="36" t="s">
        <v>4714</v>
      </c>
      <c r="C9" s="36"/>
      <c r="D9" s="36" t="s">
        <v>4750</v>
      </c>
      <c r="E9" s="36">
        <v>4000</v>
      </c>
      <c r="F9" s="36" t="s">
        <v>4751</v>
      </c>
      <c r="G9" s="36" t="s">
        <v>4781</v>
      </c>
      <c r="H9" s="36" t="s">
        <v>4815</v>
      </c>
      <c r="I9" s="36"/>
      <c r="J9" s="36"/>
      <c r="K9" s="36"/>
      <c r="L9" s="36">
        <v>35000</v>
      </c>
      <c r="M9" s="36"/>
      <c r="N9" s="36"/>
    </row>
    <row r="10" spans="1:15" x14ac:dyDescent="0.25">
      <c r="A10" s="48">
        <v>45745</v>
      </c>
      <c r="B10" s="36" t="s">
        <v>4717</v>
      </c>
      <c r="C10" s="36"/>
      <c r="D10" s="36" t="s">
        <v>4718</v>
      </c>
      <c r="E10" s="36">
        <v>3100</v>
      </c>
      <c r="F10" s="36" t="s">
        <v>4776</v>
      </c>
      <c r="G10" s="36"/>
      <c r="H10" s="36"/>
      <c r="I10" s="36"/>
      <c r="J10" s="36"/>
      <c r="K10" s="36"/>
      <c r="L10" s="36" t="s">
        <v>4775</v>
      </c>
      <c r="M10" s="36" t="s">
        <v>4540</v>
      </c>
      <c r="N10" s="36"/>
    </row>
    <row r="11" spans="1:15" x14ac:dyDescent="0.25">
      <c r="A11" s="48">
        <v>45745</v>
      </c>
      <c r="B11" s="36" t="s">
        <v>4719</v>
      </c>
      <c r="C11" s="36"/>
      <c r="D11" s="36" t="s">
        <v>4953</v>
      </c>
      <c r="E11" s="36">
        <v>10000</v>
      </c>
      <c r="F11" s="36" t="s">
        <v>4761</v>
      </c>
      <c r="G11" s="36" t="s">
        <v>4807</v>
      </c>
      <c r="H11" s="36" t="s">
        <v>4849</v>
      </c>
      <c r="I11" s="36" t="s">
        <v>4850</v>
      </c>
      <c r="J11" s="36" t="s">
        <v>4954</v>
      </c>
      <c r="K11" s="36"/>
      <c r="L11" s="36" t="s">
        <v>4720</v>
      </c>
      <c r="M11" s="36" t="s">
        <v>4540</v>
      </c>
      <c r="N11" s="36"/>
    </row>
    <row r="12" spans="1:15" x14ac:dyDescent="0.25">
      <c r="A12" s="155">
        <v>45745</v>
      </c>
      <c r="B12" s="9" t="s">
        <v>4722</v>
      </c>
      <c r="C12" s="9"/>
      <c r="D12" s="9" t="s">
        <v>4723</v>
      </c>
      <c r="E12" s="9">
        <v>3700</v>
      </c>
      <c r="F12" s="9" t="s">
        <v>4765</v>
      </c>
      <c r="G12" s="9" t="s">
        <v>4810</v>
      </c>
      <c r="H12" s="9" t="s">
        <v>4852</v>
      </c>
      <c r="I12" s="9"/>
      <c r="J12" s="9"/>
      <c r="K12" s="9"/>
      <c r="L12" s="9" t="s">
        <v>4724</v>
      </c>
      <c r="M12" t="s">
        <v>4540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2074-8C93-4A1E-AE06-C1F20E4E10E0}">
  <dimension ref="A1:N19"/>
  <sheetViews>
    <sheetView topLeftCell="A3" workbookViewId="0">
      <selection activeCell="B17" sqref="B17"/>
    </sheetView>
  </sheetViews>
  <sheetFormatPr baseColWidth="10" defaultRowHeight="15" x14ac:dyDescent="0.25"/>
  <cols>
    <col min="2" max="2" width="23.42578125" customWidth="1"/>
    <col min="4" max="4" width="49.28515625" customWidth="1"/>
    <col min="5" max="5" width="21.5703125" customWidth="1"/>
    <col min="12" max="12" width="20.85546875" customWidth="1"/>
    <col min="13" max="13" width="31.42578125" customWidth="1"/>
  </cols>
  <sheetData>
    <row r="1" spans="1:14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1" t="s">
        <v>4600</v>
      </c>
      <c r="L1" s="160" t="s">
        <v>270</v>
      </c>
      <c r="M1" s="177" t="s">
        <v>4491</v>
      </c>
      <c r="N1" s="177" t="s">
        <v>3317</v>
      </c>
    </row>
    <row r="2" spans="1:14" x14ac:dyDescent="0.25">
      <c r="A2" s="48">
        <v>45598</v>
      </c>
      <c r="B2" s="36" t="s">
        <v>4489</v>
      </c>
      <c r="C2" s="36"/>
      <c r="D2" s="36" t="s">
        <v>4490</v>
      </c>
      <c r="E2" s="36">
        <v>7300</v>
      </c>
      <c r="F2" s="36" t="s">
        <v>4525</v>
      </c>
      <c r="G2" s="36" t="s">
        <v>4560</v>
      </c>
      <c r="H2" s="36" t="s">
        <v>4631</v>
      </c>
      <c r="I2" s="36" t="s">
        <v>4728</v>
      </c>
      <c r="J2" s="36" t="s">
        <v>4731</v>
      </c>
      <c r="K2" s="36" t="s">
        <v>4753</v>
      </c>
      <c r="L2" s="36">
        <v>36500</v>
      </c>
      <c r="M2" s="36" t="s">
        <v>4507</v>
      </c>
      <c r="N2" s="36"/>
    </row>
    <row r="3" spans="1:14" x14ac:dyDescent="0.25">
      <c r="A3" s="48">
        <v>45605</v>
      </c>
      <c r="B3" s="36" t="s">
        <v>4496</v>
      </c>
      <c r="C3" s="36"/>
      <c r="D3" s="36" t="s">
        <v>4796</v>
      </c>
      <c r="E3" s="36">
        <v>2700</v>
      </c>
      <c r="F3" s="36" t="s">
        <v>4536</v>
      </c>
      <c r="G3" s="36" t="s">
        <v>4563</v>
      </c>
      <c r="H3" s="36" t="s">
        <v>4673</v>
      </c>
      <c r="I3" s="36" t="s">
        <v>4674</v>
      </c>
      <c r="J3" s="36" t="s">
        <v>4739</v>
      </c>
      <c r="K3" s="36" t="s">
        <v>4797</v>
      </c>
      <c r="L3" s="36">
        <v>18700</v>
      </c>
      <c r="M3" s="36" t="s">
        <v>4507</v>
      </c>
      <c r="N3" s="36"/>
    </row>
    <row r="4" spans="1:14" ht="33" customHeight="1" x14ac:dyDescent="0.25">
      <c r="A4" s="48">
        <v>45605</v>
      </c>
      <c r="B4" s="36" t="s">
        <v>389</v>
      </c>
      <c r="C4" s="36"/>
      <c r="D4" s="50" t="s">
        <v>4623</v>
      </c>
      <c r="E4" s="36">
        <v>14600</v>
      </c>
      <c r="F4" s="36" t="s">
        <v>4529</v>
      </c>
      <c r="G4" s="36" t="s">
        <v>4566</v>
      </c>
      <c r="H4" s="36" t="s">
        <v>4621</v>
      </c>
      <c r="I4" s="36" t="s">
        <v>4622</v>
      </c>
      <c r="J4" s="36" t="s">
        <v>4701</v>
      </c>
      <c r="K4" s="36"/>
      <c r="L4" s="36" t="s">
        <v>4624</v>
      </c>
      <c r="M4" s="36" t="s">
        <v>4508</v>
      </c>
      <c r="N4" s="36"/>
    </row>
    <row r="5" spans="1:14" x14ac:dyDescent="0.25">
      <c r="A5" s="48">
        <v>45605</v>
      </c>
      <c r="B5" s="36" t="s">
        <v>4497</v>
      </c>
      <c r="C5" s="36"/>
      <c r="D5" s="36" t="s">
        <v>4708</v>
      </c>
      <c r="E5" s="36">
        <v>6100</v>
      </c>
      <c r="F5" s="36" t="s">
        <v>4530</v>
      </c>
      <c r="G5" s="36" t="s">
        <v>4561</v>
      </c>
      <c r="H5" s="36" t="s">
        <v>4632</v>
      </c>
      <c r="I5" s="36" t="s">
        <v>4679</v>
      </c>
      <c r="J5" s="36" t="s">
        <v>4709</v>
      </c>
      <c r="K5" s="36"/>
      <c r="L5" s="36" t="s">
        <v>4710</v>
      </c>
      <c r="M5" s="36" t="s">
        <v>4509</v>
      </c>
      <c r="N5" s="36"/>
    </row>
    <row r="6" spans="1:14" x14ac:dyDescent="0.25">
      <c r="A6" s="48">
        <v>45611</v>
      </c>
      <c r="B6" s="36" t="s">
        <v>4505</v>
      </c>
      <c r="C6" s="36"/>
      <c r="D6" s="36" t="s">
        <v>4935</v>
      </c>
      <c r="E6" s="36">
        <v>3000</v>
      </c>
      <c r="F6" s="36" t="s">
        <v>4549</v>
      </c>
      <c r="G6" s="36" t="s">
        <v>4556</v>
      </c>
      <c r="H6" s="36" t="s">
        <v>4947</v>
      </c>
      <c r="I6" s="36"/>
      <c r="J6" s="36"/>
      <c r="K6" s="36"/>
      <c r="L6" s="36">
        <v>16700</v>
      </c>
      <c r="M6" s="36" t="s">
        <v>4510</v>
      </c>
      <c r="N6" s="36"/>
    </row>
    <row r="7" spans="1:14" x14ac:dyDescent="0.25">
      <c r="A7" s="48">
        <v>45612</v>
      </c>
      <c r="B7" s="36" t="s">
        <v>4620</v>
      </c>
      <c r="C7" s="36"/>
      <c r="D7" s="36" t="s">
        <v>4869</v>
      </c>
      <c r="E7" s="36">
        <v>3000</v>
      </c>
      <c r="F7" s="36" t="s">
        <v>4546</v>
      </c>
      <c r="G7" s="36" t="s">
        <v>4584</v>
      </c>
      <c r="H7" s="36" t="s">
        <v>4647</v>
      </c>
      <c r="I7" s="36" t="s">
        <v>4675</v>
      </c>
      <c r="J7" s="36" t="s">
        <v>4870</v>
      </c>
      <c r="K7" s="36"/>
      <c r="L7" s="36">
        <v>15000</v>
      </c>
      <c r="M7" s="36" t="s">
        <v>4510</v>
      </c>
      <c r="N7" s="36"/>
    </row>
    <row r="8" spans="1:14" x14ac:dyDescent="0.25">
      <c r="A8" s="48">
        <v>45612</v>
      </c>
      <c r="B8" s="36" t="s">
        <v>4625</v>
      </c>
      <c r="C8" s="36"/>
      <c r="D8" s="36" t="s">
        <v>4591</v>
      </c>
      <c r="E8" s="36">
        <v>6000</v>
      </c>
      <c r="F8" s="36" t="s">
        <v>4542</v>
      </c>
      <c r="G8" s="36" t="s">
        <v>4608</v>
      </c>
      <c r="H8" s="36" t="s">
        <v>4648</v>
      </c>
      <c r="I8" s="36"/>
      <c r="J8" s="36"/>
      <c r="K8" s="36"/>
      <c r="L8" s="36">
        <v>15500</v>
      </c>
      <c r="M8" s="36" t="s">
        <v>4507</v>
      </c>
      <c r="N8" s="36"/>
    </row>
    <row r="9" spans="1:14" x14ac:dyDescent="0.25">
      <c r="A9" s="48">
        <v>45615</v>
      </c>
      <c r="B9" s="36" t="s">
        <v>4512</v>
      </c>
      <c r="C9" s="36"/>
      <c r="D9" s="36" t="s">
        <v>4528</v>
      </c>
      <c r="E9" s="36">
        <v>4000</v>
      </c>
      <c r="F9" s="36" t="s">
        <v>4544</v>
      </c>
      <c r="G9" s="36" t="s">
        <v>4587</v>
      </c>
      <c r="H9" s="36" t="s">
        <v>4652</v>
      </c>
      <c r="I9" s="36" t="s">
        <v>4707</v>
      </c>
      <c r="J9" s="36"/>
      <c r="K9" s="36"/>
      <c r="L9" s="36">
        <v>20000</v>
      </c>
      <c r="M9" s="36" t="s">
        <v>4507</v>
      </c>
      <c r="N9" s="36"/>
    </row>
    <row r="10" spans="1:14" ht="30" customHeight="1" x14ac:dyDescent="0.25">
      <c r="A10" s="48">
        <v>45615</v>
      </c>
      <c r="B10" s="36" t="s">
        <v>4513</v>
      </c>
      <c r="C10" s="36"/>
      <c r="D10" s="50" t="s">
        <v>4634</v>
      </c>
      <c r="E10" s="36">
        <v>20000</v>
      </c>
      <c r="F10" s="36" t="s">
        <v>4633</v>
      </c>
      <c r="G10" s="36" t="s">
        <v>4677</v>
      </c>
      <c r="H10" s="36"/>
      <c r="I10" s="36"/>
      <c r="J10" s="36"/>
      <c r="K10" s="36"/>
      <c r="L10" s="109" t="s">
        <v>4635</v>
      </c>
      <c r="M10" s="36" t="s">
        <v>4509</v>
      </c>
      <c r="N10" s="36"/>
    </row>
    <row r="11" spans="1:14" x14ac:dyDescent="0.25">
      <c r="A11" s="48">
        <v>45615</v>
      </c>
      <c r="B11" s="36" t="s">
        <v>4514</v>
      </c>
      <c r="C11" s="36"/>
      <c r="D11" s="36" t="s">
        <v>4924</v>
      </c>
      <c r="E11" s="36">
        <v>4000</v>
      </c>
      <c r="F11" s="36" t="s">
        <v>4559</v>
      </c>
      <c r="G11" s="36" t="s">
        <v>4650</v>
      </c>
      <c r="H11" s="36" t="s">
        <v>4830</v>
      </c>
      <c r="I11" s="36" t="s">
        <v>1724</v>
      </c>
      <c r="J11" s="36" t="s">
        <v>4923</v>
      </c>
      <c r="K11" s="36"/>
      <c r="L11" s="36">
        <v>20000</v>
      </c>
      <c r="M11" s="36" t="s">
        <v>4507</v>
      </c>
    </row>
    <row r="12" spans="1:14" ht="18.75" x14ac:dyDescent="0.3">
      <c r="A12" s="48">
        <v>45618</v>
      </c>
      <c r="B12" s="36" t="s">
        <v>4517</v>
      </c>
      <c r="C12" s="36"/>
      <c r="D12" s="36" t="s">
        <v>4680</v>
      </c>
      <c r="E12" s="36">
        <v>7300</v>
      </c>
      <c r="F12" s="36" t="s">
        <v>4570</v>
      </c>
      <c r="G12" s="36" t="s">
        <v>4571</v>
      </c>
      <c r="H12" s="36" t="s">
        <v>4656</v>
      </c>
      <c r="I12" s="36" t="s">
        <v>4713</v>
      </c>
      <c r="J12" s="36" t="s">
        <v>4818</v>
      </c>
      <c r="K12" s="36"/>
      <c r="L12" s="36">
        <v>39500</v>
      </c>
      <c r="M12" s="36" t="s">
        <v>4508</v>
      </c>
      <c r="N12" s="186"/>
    </row>
    <row r="13" spans="1:14" x14ac:dyDescent="0.25">
      <c r="A13" s="48">
        <v>45626</v>
      </c>
      <c r="B13" s="36" t="s">
        <v>4520</v>
      </c>
      <c r="C13" s="36"/>
      <c r="D13" s="36" t="s">
        <v>4521</v>
      </c>
      <c r="E13" s="36">
        <v>14700</v>
      </c>
      <c r="F13" s="36"/>
      <c r="G13" s="36"/>
      <c r="H13" s="36"/>
      <c r="I13" s="36"/>
      <c r="J13" s="36"/>
      <c r="K13" s="36"/>
      <c r="L13" s="36">
        <v>14700</v>
      </c>
      <c r="M13" s="36"/>
      <c r="N13" s="36"/>
    </row>
    <row r="14" spans="1:14" x14ac:dyDescent="0.25">
      <c r="I14">
        <f>+I13</f>
        <v>0</v>
      </c>
    </row>
    <row r="16" spans="1:14" x14ac:dyDescent="0.25">
      <c r="F16" t="s">
        <v>4618</v>
      </c>
    </row>
    <row r="17" spans="5:9" x14ac:dyDescent="0.25">
      <c r="E17" t="s">
        <v>4617</v>
      </c>
    </row>
    <row r="19" spans="5:9" x14ac:dyDescent="0.25">
      <c r="I19" t="s">
        <v>4619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3F5B-ED5B-4E94-A265-1A06ECCE6478}">
  <dimension ref="A1:P11"/>
  <sheetViews>
    <sheetView topLeftCell="A4" workbookViewId="0">
      <selection activeCell="D14" sqref="D14"/>
    </sheetView>
  </sheetViews>
  <sheetFormatPr baseColWidth="10" defaultRowHeight="15" x14ac:dyDescent="0.25"/>
  <cols>
    <col min="1" max="1" width="13.5703125" customWidth="1"/>
    <col min="2" max="2" width="30.7109375" customWidth="1"/>
    <col min="4" max="4" width="37.42578125" customWidth="1"/>
    <col min="12" max="15" width="15.7109375" customWidth="1"/>
    <col min="16" max="16" width="24.7109375" customWidth="1"/>
  </cols>
  <sheetData>
    <row r="1" spans="1:16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111</v>
      </c>
      <c r="J1" s="161" t="s">
        <v>4261</v>
      </c>
      <c r="K1" s="161" t="s">
        <v>4600</v>
      </c>
      <c r="L1" s="160" t="s">
        <v>270</v>
      </c>
      <c r="M1" s="177" t="s">
        <v>3317</v>
      </c>
      <c r="N1" s="177" t="s">
        <v>3390</v>
      </c>
      <c r="O1" s="177" t="s">
        <v>3455</v>
      </c>
      <c r="P1" s="180" t="s">
        <v>4491</v>
      </c>
    </row>
    <row r="2" spans="1:16" x14ac:dyDescent="0.25">
      <c r="A2" s="48">
        <v>45689</v>
      </c>
      <c r="B2" s="36" t="s">
        <v>4611</v>
      </c>
      <c r="C2" s="36"/>
      <c r="D2" s="36" t="s">
        <v>4612</v>
      </c>
      <c r="E2" s="36">
        <v>31500</v>
      </c>
      <c r="F2" s="36"/>
      <c r="G2" s="36"/>
      <c r="H2" s="36"/>
      <c r="I2" s="36"/>
      <c r="J2" s="36"/>
      <c r="K2" s="36"/>
      <c r="L2" s="36">
        <v>31500</v>
      </c>
      <c r="M2" s="36"/>
      <c r="N2" s="36"/>
      <c r="O2" s="36"/>
      <c r="P2" s="36" t="s">
        <v>4613</v>
      </c>
    </row>
    <row r="3" spans="1:16" x14ac:dyDescent="0.25">
      <c r="A3" s="48">
        <v>45689</v>
      </c>
      <c r="B3" s="36" t="s">
        <v>4614</v>
      </c>
      <c r="C3" s="36"/>
      <c r="D3" s="36" t="s">
        <v>4693</v>
      </c>
      <c r="E3" s="36">
        <v>2000</v>
      </c>
      <c r="F3" s="36" t="s">
        <v>4654</v>
      </c>
      <c r="G3" s="159">
        <v>1800</v>
      </c>
      <c r="H3" s="36"/>
      <c r="I3" s="36"/>
      <c r="J3" s="36"/>
      <c r="K3" s="36"/>
      <c r="L3" s="36">
        <v>4700</v>
      </c>
      <c r="M3" s="36"/>
      <c r="N3" s="36"/>
      <c r="O3" s="36"/>
      <c r="P3" s="36"/>
    </row>
    <row r="4" spans="1:16" x14ac:dyDescent="0.25">
      <c r="A4" s="48">
        <v>45692</v>
      </c>
      <c r="B4" s="36" t="s">
        <v>4672</v>
      </c>
      <c r="C4" s="36"/>
      <c r="D4" s="36" t="s">
        <v>4630</v>
      </c>
      <c r="E4" s="36">
        <v>4675</v>
      </c>
      <c r="F4" s="36" t="s">
        <v>4668</v>
      </c>
      <c r="G4" s="36" t="s">
        <v>4725</v>
      </c>
      <c r="H4" s="36" t="s">
        <v>4736</v>
      </c>
      <c r="I4" s="36"/>
      <c r="J4" s="36"/>
      <c r="K4" s="36"/>
      <c r="L4" s="36">
        <v>9350</v>
      </c>
      <c r="M4" s="36"/>
      <c r="N4" s="36"/>
      <c r="O4" s="36"/>
      <c r="P4" s="36"/>
    </row>
    <row r="5" spans="1:16" x14ac:dyDescent="0.25">
      <c r="A5" s="48">
        <v>45692</v>
      </c>
      <c r="B5" s="36" t="s">
        <v>4918</v>
      </c>
      <c r="C5" s="36"/>
      <c r="D5" s="36" t="s">
        <v>4919</v>
      </c>
      <c r="E5" s="36">
        <v>3100</v>
      </c>
      <c r="F5" s="36" t="s">
        <v>4661</v>
      </c>
      <c r="G5" s="36" t="s">
        <v>4727</v>
      </c>
      <c r="H5" s="36" t="s">
        <v>4769</v>
      </c>
      <c r="I5" s="36" t="s">
        <v>4813</v>
      </c>
      <c r="J5" s="36" t="s">
        <v>4893</v>
      </c>
      <c r="K5" s="36" t="s">
        <v>4981</v>
      </c>
      <c r="L5" s="36" t="s">
        <v>4964</v>
      </c>
      <c r="M5" s="36" t="s">
        <v>4980</v>
      </c>
      <c r="N5" s="36" t="s">
        <v>5006</v>
      </c>
      <c r="O5" s="36"/>
      <c r="P5" s="36" t="s">
        <v>4540</v>
      </c>
    </row>
    <row r="6" spans="1:16" x14ac:dyDescent="0.25">
      <c r="A6" s="48">
        <v>45696</v>
      </c>
      <c r="B6" s="36" t="s">
        <v>4638</v>
      </c>
      <c r="C6" s="36"/>
      <c r="D6" s="36" t="s">
        <v>4639</v>
      </c>
      <c r="E6" s="36">
        <v>3200</v>
      </c>
      <c r="F6" s="36" t="s">
        <v>4689</v>
      </c>
      <c r="G6" s="36" t="s">
        <v>4738</v>
      </c>
      <c r="H6" s="36" t="s">
        <v>4782</v>
      </c>
      <c r="I6" s="36" t="s">
        <v>4785</v>
      </c>
      <c r="J6" s="36"/>
      <c r="K6" s="36"/>
      <c r="L6" s="36" t="s">
        <v>4640</v>
      </c>
      <c r="M6" s="36"/>
      <c r="N6" s="36"/>
      <c r="O6" s="36"/>
      <c r="P6" s="36" t="s">
        <v>4540</v>
      </c>
    </row>
    <row r="7" spans="1:16" x14ac:dyDescent="0.25">
      <c r="A7" s="48">
        <v>45696</v>
      </c>
      <c r="B7" s="36" t="s">
        <v>4641</v>
      </c>
      <c r="C7" s="36"/>
      <c r="D7" s="36" t="s">
        <v>4642</v>
      </c>
      <c r="E7" s="36">
        <v>3000</v>
      </c>
      <c r="F7" s="36" t="s">
        <v>4690</v>
      </c>
      <c r="G7" s="36" t="s">
        <v>2554</v>
      </c>
      <c r="H7" s="36" t="s">
        <v>4773</v>
      </c>
      <c r="I7" s="36" t="s">
        <v>4819</v>
      </c>
      <c r="J7" s="36"/>
      <c r="K7" s="36"/>
      <c r="L7" s="36" t="s">
        <v>4643</v>
      </c>
      <c r="M7" s="36"/>
      <c r="N7" s="36"/>
      <c r="O7" s="36"/>
      <c r="P7" s="36" t="s">
        <v>4540</v>
      </c>
    </row>
    <row r="8" spans="1:16" x14ac:dyDescent="0.25">
      <c r="A8" s="48">
        <v>45699</v>
      </c>
      <c r="B8" s="36" t="s">
        <v>4645</v>
      </c>
      <c r="C8" s="36"/>
      <c r="D8" s="36" t="s">
        <v>4831</v>
      </c>
      <c r="E8" s="36">
        <v>15720</v>
      </c>
      <c r="F8" s="36" t="s">
        <v>4692</v>
      </c>
      <c r="G8" s="36" t="s">
        <v>4744</v>
      </c>
      <c r="H8" s="36" t="s">
        <v>4788</v>
      </c>
      <c r="I8" s="36" t="s">
        <v>4832</v>
      </c>
      <c r="J8" s="36"/>
      <c r="K8" s="36"/>
      <c r="L8" s="36">
        <v>39400</v>
      </c>
      <c r="M8" s="36"/>
      <c r="N8" s="36"/>
      <c r="O8" s="36"/>
      <c r="P8" s="36" t="s">
        <v>4646</v>
      </c>
    </row>
    <row r="9" spans="1:16" x14ac:dyDescent="0.25">
      <c r="A9" s="48">
        <v>45714</v>
      </c>
      <c r="B9" s="36" t="s">
        <v>4660</v>
      </c>
      <c r="C9" s="36"/>
      <c r="D9" s="36" t="s">
        <v>4798</v>
      </c>
      <c r="E9" s="36">
        <v>10000</v>
      </c>
      <c r="F9" s="36" t="s">
        <v>4726</v>
      </c>
      <c r="G9" s="36" t="s">
        <v>2650</v>
      </c>
      <c r="H9" s="36" t="s">
        <v>4799</v>
      </c>
      <c r="I9" s="36"/>
      <c r="J9" s="36"/>
      <c r="K9" s="36"/>
      <c r="L9" s="36">
        <v>16000</v>
      </c>
      <c r="M9" s="36"/>
      <c r="N9" s="36"/>
      <c r="O9" s="36"/>
      <c r="P9" s="36" t="s">
        <v>4540</v>
      </c>
    </row>
    <row r="11" spans="1:16" x14ac:dyDescent="0.25">
      <c r="G11" s="15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6233-3926-4333-BEB6-0B4A565C437B}">
  <dimension ref="A1:M7"/>
  <sheetViews>
    <sheetView workbookViewId="0">
      <selection activeCell="F13" sqref="F13"/>
    </sheetView>
  </sheetViews>
  <sheetFormatPr baseColWidth="10" defaultRowHeight="15" x14ac:dyDescent="0.25"/>
  <cols>
    <col min="1" max="1" width="12.28515625" customWidth="1"/>
    <col min="2" max="2" width="26.5703125" customWidth="1"/>
    <col min="4" max="4" width="34.28515625" customWidth="1"/>
    <col min="13" max="13" width="23.7109375" customWidth="1"/>
  </cols>
  <sheetData>
    <row r="1" spans="1:13" x14ac:dyDescent="0.25">
      <c r="A1" s="160" t="s">
        <v>9</v>
      </c>
      <c r="B1" s="160" t="s">
        <v>0</v>
      </c>
      <c r="C1" s="160" t="s">
        <v>271</v>
      </c>
      <c r="D1" s="160" t="s">
        <v>4010</v>
      </c>
      <c r="E1" s="160" t="s">
        <v>3905</v>
      </c>
      <c r="F1" s="160" t="s">
        <v>3906</v>
      </c>
      <c r="G1" s="160" t="s">
        <v>4258</v>
      </c>
      <c r="H1" s="160" t="s">
        <v>4259</v>
      </c>
      <c r="I1" s="160" t="s">
        <v>4260</v>
      </c>
      <c r="J1" s="161" t="s">
        <v>4261</v>
      </c>
      <c r="K1" s="161" t="s">
        <v>4600</v>
      </c>
      <c r="L1" s="160" t="s">
        <v>270</v>
      </c>
      <c r="M1" s="180" t="s">
        <v>4491</v>
      </c>
    </row>
    <row r="2" spans="1:13" x14ac:dyDescent="0.25">
      <c r="A2" s="48">
        <v>45751</v>
      </c>
      <c r="B2" s="36" t="s">
        <v>4894</v>
      </c>
      <c r="C2" s="36"/>
      <c r="D2" s="36" t="s">
        <v>5066</v>
      </c>
      <c r="E2" s="36">
        <v>3000</v>
      </c>
      <c r="F2" s="36" t="s">
        <v>4854</v>
      </c>
      <c r="G2" s="36" t="s">
        <v>4895</v>
      </c>
      <c r="H2" s="36" t="s">
        <v>4955</v>
      </c>
      <c r="I2" s="36"/>
      <c r="L2" s="36">
        <v>15000</v>
      </c>
      <c r="M2" s="36" t="s">
        <v>4735</v>
      </c>
    </row>
    <row r="3" spans="1:13" x14ac:dyDescent="0.25">
      <c r="A3" s="48">
        <v>45758</v>
      </c>
      <c r="B3" s="36" t="s">
        <v>4742</v>
      </c>
      <c r="C3" s="36"/>
      <c r="D3" s="36" t="s">
        <v>37</v>
      </c>
      <c r="E3" s="36">
        <v>2500</v>
      </c>
      <c r="F3" s="36" t="s">
        <v>4757</v>
      </c>
      <c r="G3" s="36" t="s">
        <v>4786</v>
      </c>
      <c r="H3" s="36" t="s">
        <v>4820</v>
      </c>
      <c r="I3" s="36" t="s">
        <v>4881</v>
      </c>
      <c r="J3" s="36" t="s">
        <v>4930</v>
      </c>
      <c r="K3" s="36"/>
      <c r="L3" s="36">
        <v>26500</v>
      </c>
      <c r="M3" s="36" t="s">
        <v>4743</v>
      </c>
    </row>
    <row r="4" spans="1:13" x14ac:dyDescent="0.25">
      <c r="A4" s="48">
        <v>45759</v>
      </c>
      <c r="B4" s="36" t="s">
        <v>4745</v>
      </c>
      <c r="C4" s="36"/>
      <c r="D4" s="36" t="s">
        <v>4533</v>
      </c>
      <c r="E4" s="36">
        <v>7000</v>
      </c>
      <c r="F4" s="36" t="s">
        <v>4787</v>
      </c>
      <c r="G4" s="36" t="s">
        <v>4826</v>
      </c>
      <c r="H4" s="36" t="s">
        <v>4838</v>
      </c>
      <c r="I4" s="36" t="s">
        <v>4884</v>
      </c>
      <c r="J4" s="36"/>
      <c r="K4" s="36"/>
      <c r="L4" s="36">
        <v>35000</v>
      </c>
      <c r="M4" s="36"/>
    </row>
    <row r="5" spans="1:13" x14ac:dyDescent="0.25">
      <c r="A5" s="48">
        <v>45761</v>
      </c>
      <c r="B5" s="36" t="s">
        <v>4746</v>
      </c>
      <c r="C5" s="36"/>
      <c r="D5" s="36" t="s">
        <v>4747</v>
      </c>
      <c r="E5" s="36">
        <v>7400</v>
      </c>
      <c r="F5" s="36" t="s">
        <v>4777</v>
      </c>
      <c r="G5" s="36" t="s">
        <v>4778</v>
      </c>
      <c r="H5" s="36" t="s">
        <v>4811</v>
      </c>
      <c r="I5" s="36"/>
      <c r="J5" s="36"/>
      <c r="K5" s="36"/>
      <c r="L5" s="36">
        <v>18500</v>
      </c>
      <c r="M5" s="36" t="s">
        <v>4540</v>
      </c>
    </row>
    <row r="6" spans="1:13" x14ac:dyDescent="0.25">
      <c r="A6" s="48">
        <v>45762</v>
      </c>
      <c r="B6" s="36" t="s">
        <v>4749</v>
      </c>
      <c r="C6" s="36"/>
      <c r="D6" s="36" t="s">
        <v>4879</v>
      </c>
      <c r="E6" s="36">
        <v>6000</v>
      </c>
      <c r="F6" s="36" t="s">
        <v>4802</v>
      </c>
      <c r="G6" s="36" t="s">
        <v>4841</v>
      </c>
      <c r="H6" s="36" t="s">
        <v>4880</v>
      </c>
      <c r="I6" s="36"/>
      <c r="J6" s="36"/>
      <c r="K6" s="36"/>
      <c r="L6" s="36">
        <v>34000</v>
      </c>
      <c r="M6" s="36"/>
    </row>
    <row r="7" spans="1:13" x14ac:dyDescent="0.25">
      <c r="A7" s="155">
        <v>45769</v>
      </c>
      <c r="B7" s="9" t="s">
        <v>4755</v>
      </c>
      <c r="C7" s="9"/>
      <c r="D7" s="9" t="s">
        <v>4478</v>
      </c>
      <c r="E7" s="9">
        <v>5800</v>
      </c>
      <c r="F7" s="9"/>
      <c r="G7" s="9"/>
      <c r="H7" s="9"/>
      <c r="I7" s="9"/>
      <c r="J7" s="9"/>
      <c r="K7" s="9"/>
      <c r="L7" s="9">
        <v>29000</v>
      </c>
      <c r="M7" s="9" t="s">
        <v>4743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C3FB-9B47-4FD3-9F01-8231D4E077B2}">
  <dimension ref="A1:N11"/>
  <sheetViews>
    <sheetView workbookViewId="0">
      <selection activeCell="F17" sqref="F17"/>
    </sheetView>
  </sheetViews>
  <sheetFormatPr baseColWidth="10" defaultRowHeight="15" x14ac:dyDescent="0.25"/>
  <cols>
    <col min="2" max="2" width="26.140625" customWidth="1"/>
    <col min="4" max="4" width="44.140625" customWidth="1"/>
    <col min="13" max="13" width="25.7109375" customWidth="1"/>
  </cols>
  <sheetData>
    <row r="1" spans="1:14" x14ac:dyDescent="0.25">
      <c r="A1" s="185" t="s">
        <v>9</v>
      </c>
      <c r="B1" s="185" t="s">
        <v>0</v>
      </c>
      <c r="C1" s="185" t="s">
        <v>271</v>
      </c>
      <c r="D1" s="185" t="s">
        <v>4010</v>
      </c>
      <c r="E1" s="185" t="s">
        <v>3905</v>
      </c>
      <c r="F1" s="185" t="s">
        <v>3906</v>
      </c>
      <c r="G1" s="185" t="s">
        <v>4258</v>
      </c>
      <c r="H1" s="185" t="s">
        <v>4259</v>
      </c>
      <c r="I1" s="185" t="s">
        <v>4260</v>
      </c>
      <c r="J1" s="185" t="s">
        <v>4261</v>
      </c>
      <c r="K1" s="185"/>
      <c r="L1" s="185" t="s">
        <v>270</v>
      </c>
      <c r="M1" s="185" t="s">
        <v>4491</v>
      </c>
    </row>
    <row r="2" spans="1:14" x14ac:dyDescent="0.25">
      <c r="A2" s="8">
        <v>45779</v>
      </c>
      <c r="B2" s="4" t="s">
        <v>4766</v>
      </c>
      <c r="C2" s="4"/>
      <c r="D2" s="4" t="s">
        <v>4712</v>
      </c>
      <c r="E2" s="4">
        <v>3000</v>
      </c>
      <c r="F2" s="4" t="s">
        <v>4829</v>
      </c>
      <c r="G2" s="4" t="s">
        <v>4891</v>
      </c>
      <c r="H2" s="4" t="s">
        <v>4985</v>
      </c>
      <c r="I2" s="4"/>
      <c r="J2" s="4"/>
      <c r="K2" s="4"/>
      <c r="L2" s="4">
        <v>15000</v>
      </c>
      <c r="M2" s="4" t="s">
        <v>4767</v>
      </c>
    </row>
    <row r="3" spans="1:14" x14ac:dyDescent="0.25">
      <c r="A3" s="8">
        <v>45779</v>
      </c>
      <c r="B3" s="4" t="s">
        <v>4768</v>
      </c>
      <c r="C3" s="4"/>
      <c r="D3" s="4" t="s">
        <v>4889</v>
      </c>
      <c r="E3" s="4">
        <v>4800</v>
      </c>
      <c r="F3" s="4" t="s">
        <v>4812</v>
      </c>
      <c r="G3" s="4" t="s">
        <v>4855</v>
      </c>
      <c r="H3" s="4" t="s">
        <v>4888</v>
      </c>
      <c r="I3" s="4"/>
      <c r="J3" s="4"/>
      <c r="K3" s="4"/>
      <c r="L3" s="4">
        <v>12000</v>
      </c>
      <c r="M3" s="4" t="s">
        <v>4767</v>
      </c>
    </row>
    <row r="4" spans="1:14" x14ac:dyDescent="0.25">
      <c r="A4" s="8">
        <v>45787</v>
      </c>
      <c r="B4" s="4" t="s">
        <v>4783</v>
      </c>
      <c r="C4" s="4"/>
      <c r="D4" s="4" t="s">
        <v>5128</v>
      </c>
      <c r="E4" s="4">
        <v>5300</v>
      </c>
      <c r="F4" s="4" t="s">
        <v>4825</v>
      </c>
      <c r="G4" s="4" t="s">
        <v>4871</v>
      </c>
      <c r="H4" s="4" t="s">
        <v>4899</v>
      </c>
      <c r="I4" s="4" t="s">
        <v>4936</v>
      </c>
      <c r="J4" s="4" t="s">
        <v>5014</v>
      </c>
      <c r="K4" s="4" t="s">
        <v>5050</v>
      </c>
      <c r="L4" s="4">
        <v>26500</v>
      </c>
      <c r="M4" s="4" t="s">
        <v>4597</v>
      </c>
    </row>
    <row r="5" spans="1:14" x14ac:dyDescent="0.25">
      <c r="A5" s="8">
        <v>45787</v>
      </c>
      <c r="B5" s="4" t="s">
        <v>4784</v>
      </c>
      <c r="C5" s="4"/>
      <c r="D5" s="4" t="s">
        <v>5001</v>
      </c>
      <c r="E5" s="4">
        <v>4600</v>
      </c>
      <c r="F5" s="4" t="s">
        <v>4824</v>
      </c>
      <c r="G5" s="4" t="s">
        <v>4345</v>
      </c>
      <c r="H5" s="4" t="s">
        <v>4950</v>
      </c>
      <c r="I5" s="4" t="s">
        <v>5002</v>
      </c>
      <c r="J5" s="34" t="s">
        <v>5063</v>
      </c>
      <c r="K5" s="34"/>
      <c r="L5" s="4">
        <v>23000</v>
      </c>
      <c r="M5" s="4" t="s">
        <v>4597</v>
      </c>
      <c r="N5" s="30"/>
    </row>
    <row r="6" spans="1:14" x14ac:dyDescent="0.25">
      <c r="A6" s="8">
        <v>45791</v>
      </c>
      <c r="B6" s="4" t="s">
        <v>4791</v>
      </c>
      <c r="C6" s="4"/>
      <c r="D6" s="4" t="s">
        <v>4822</v>
      </c>
      <c r="E6" s="4">
        <v>6000</v>
      </c>
      <c r="F6" s="4" t="s">
        <v>4823</v>
      </c>
      <c r="G6" s="4"/>
      <c r="H6" s="4"/>
      <c r="I6" s="4"/>
      <c r="J6" s="4"/>
      <c r="K6" s="4"/>
      <c r="L6" s="4">
        <v>16350</v>
      </c>
      <c r="M6" s="4" t="s">
        <v>4540</v>
      </c>
    </row>
    <row r="7" spans="1:14" x14ac:dyDescent="0.25">
      <c r="A7" s="8">
        <v>45793</v>
      </c>
      <c r="B7" s="4" t="s">
        <v>4793</v>
      </c>
      <c r="C7" s="4"/>
      <c r="D7" s="4" t="s">
        <v>5145</v>
      </c>
      <c r="E7" s="4">
        <v>7600</v>
      </c>
      <c r="F7" s="4" t="s">
        <v>4835</v>
      </c>
      <c r="G7" s="4" t="s">
        <v>4890</v>
      </c>
      <c r="H7" s="4" t="s">
        <v>4939</v>
      </c>
      <c r="I7" s="4" t="s">
        <v>5154</v>
      </c>
      <c r="J7" s="4"/>
      <c r="K7" s="4"/>
      <c r="L7" s="4">
        <v>38000</v>
      </c>
      <c r="M7" s="4" t="s">
        <v>4794</v>
      </c>
    </row>
    <row r="8" spans="1:14" x14ac:dyDescent="0.25">
      <c r="A8" s="8">
        <v>45794</v>
      </c>
      <c r="B8" s="4" t="s">
        <v>4800</v>
      </c>
      <c r="C8" s="4"/>
      <c r="D8" s="4" t="s">
        <v>4900</v>
      </c>
      <c r="E8" s="4">
        <v>16368</v>
      </c>
      <c r="F8" s="4" t="s">
        <v>4836</v>
      </c>
      <c r="G8" s="4" t="s">
        <v>4845</v>
      </c>
      <c r="H8" s="4" t="s">
        <v>4940</v>
      </c>
      <c r="I8" s="4" t="s">
        <v>4941</v>
      </c>
      <c r="J8" s="4" t="s">
        <v>4977</v>
      </c>
      <c r="K8" s="4"/>
      <c r="L8" s="4">
        <v>45420</v>
      </c>
      <c r="M8" s="4"/>
    </row>
    <row r="9" spans="1:14" x14ac:dyDescent="0.25">
      <c r="A9" s="8">
        <v>45794</v>
      </c>
      <c r="B9" s="4" t="s">
        <v>4828</v>
      </c>
      <c r="C9" s="4"/>
      <c r="D9" s="4" t="s">
        <v>3991</v>
      </c>
      <c r="E9" s="4">
        <v>5100</v>
      </c>
      <c r="F9" s="4" t="s">
        <v>4834</v>
      </c>
      <c r="G9" s="4" t="s">
        <v>4872</v>
      </c>
      <c r="H9" s="4" t="s">
        <v>4946</v>
      </c>
      <c r="I9" s="4" t="s">
        <v>4986</v>
      </c>
      <c r="J9" s="4"/>
      <c r="K9" s="4"/>
      <c r="L9" s="4">
        <v>25500</v>
      </c>
      <c r="M9" s="4" t="s">
        <v>4597</v>
      </c>
    </row>
    <row r="10" spans="1:14" x14ac:dyDescent="0.25">
      <c r="A10" s="8">
        <v>45805</v>
      </c>
      <c r="B10" s="4" t="s">
        <v>4805</v>
      </c>
      <c r="C10" s="4"/>
      <c r="D10" s="4" t="s">
        <v>4806</v>
      </c>
      <c r="E10" s="4">
        <v>2950</v>
      </c>
      <c r="F10" s="4" t="s">
        <v>4857</v>
      </c>
      <c r="G10" s="4"/>
      <c r="H10" s="4"/>
      <c r="I10" s="4"/>
      <c r="J10" s="4"/>
      <c r="K10" s="4"/>
      <c r="L10" s="4">
        <v>5900</v>
      </c>
      <c r="M10" s="4"/>
    </row>
    <row r="11" spans="1:14" x14ac:dyDescent="0.25">
      <c r="A11" s="8">
        <v>45808</v>
      </c>
      <c r="B11" s="4" t="s">
        <v>4808</v>
      </c>
      <c r="C11" s="4"/>
      <c r="D11" s="4" t="s">
        <v>4952</v>
      </c>
      <c r="E11" s="4">
        <v>7300</v>
      </c>
      <c r="F11" s="4" t="s">
        <v>4853</v>
      </c>
      <c r="G11" s="4" t="s">
        <v>4914</v>
      </c>
      <c r="H11" s="4" t="s">
        <v>4951</v>
      </c>
      <c r="I11" s="4"/>
      <c r="J11" s="4"/>
      <c r="K11" s="4"/>
      <c r="L11" s="4">
        <v>36500</v>
      </c>
      <c r="M11" s="4" t="s">
        <v>4646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EDB6-EEAF-43B8-864D-A0DA23E9B1E4}">
  <dimension ref="A1:L4"/>
  <sheetViews>
    <sheetView workbookViewId="0">
      <selection activeCell="D16" sqref="D16"/>
    </sheetView>
  </sheetViews>
  <sheetFormatPr baseColWidth="10" defaultRowHeight="15" x14ac:dyDescent="0.25"/>
  <cols>
    <col min="2" max="2" width="23.42578125" customWidth="1"/>
    <col min="4" max="4" width="32.42578125" customWidth="1"/>
    <col min="12" max="12" width="25.7109375" customWidth="1"/>
  </cols>
  <sheetData>
    <row r="1" spans="1:12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4491</v>
      </c>
    </row>
    <row r="2" spans="1:12" x14ac:dyDescent="0.25">
      <c r="A2" s="48">
        <v>45815</v>
      </c>
      <c r="B2" s="36" t="s">
        <v>4816</v>
      </c>
      <c r="C2" s="36"/>
      <c r="D2" s="36" t="s">
        <v>4817</v>
      </c>
      <c r="E2" s="36">
        <v>6740</v>
      </c>
      <c r="F2" s="36" t="s">
        <v>4864</v>
      </c>
      <c r="G2" s="36" t="s">
        <v>4929</v>
      </c>
      <c r="H2" s="36" t="s">
        <v>4942</v>
      </c>
      <c r="I2" s="36"/>
      <c r="J2" s="36"/>
      <c r="K2" s="36">
        <v>17300</v>
      </c>
      <c r="L2" s="36" t="s">
        <v>4540</v>
      </c>
    </row>
    <row r="3" spans="1:12" x14ac:dyDescent="0.25">
      <c r="A3" s="48">
        <v>45835</v>
      </c>
      <c r="B3" s="36" t="s">
        <v>4847</v>
      </c>
      <c r="C3" s="36"/>
      <c r="D3" s="36" t="s">
        <v>4848</v>
      </c>
      <c r="E3" s="36">
        <v>7000</v>
      </c>
      <c r="F3" s="36" t="s">
        <v>4905</v>
      </c>
      <c r="G3" s="36" t="s">
        <v>4956</v>
      </c>
      <c r="H3" s="36" t="s">
        <v>4996</v>
      </c>
      <c r="I3" s="36" t="s">
        <v>5022</v>
      </c>
      <c r="J3" s="36"/>
      <c r="K3" s="36">
        <v>35000</v>
      </c>
      <c r="L3" s="36" t="s">
        <v>4646</v>
      </c>
    </row>
    <row r="4" spans="1:12" x14ac:dyDescent="0.25">
      <c r="A4" s="48">
        <v>45838</v>
      </c>
      <c r="B4" s="36" t="s">
        <v>4851</v>
      </c>
      <c r="C4" s="36"/>
      <c r="D4" s="36" t="s">
        <v>4934</v>
      </c>
      <c r="E4" s="36">
        <v>10000</v>
      </c>
      <c r="F4" s="36" t="s">
        <v>4856</v>
      </c>
      <c r="G4" s="36" t="s">
        <v>4887</v>
      </c>
      <c r="H4" s="36"/>
      <c r="I4" s="36"/>
      <c r="J4" s="36"/>
      <c r="K4" s="36">
        <v>36900</v>
      </c>
      <c r="L4" s="36" t="s">
        <v>4646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B2DA-E4C5-48E2-BF42-700BDBA67B5B}">
  <dimension ref="A1:P14"/>
  <sheetViews>
    <sheetView workbookViewId="0">
      <selection activeCell="L10" sqref="L10"/>
    </sheetView>
  </sheetViews>
  <sheetFormatPr baseColWidth="10" defaultRowHeight="15" x14ac:dyDescent="0.25"/>
  <cols>
    <col min="1" max="1" width="13.5703125" customWidth="1"/>
    <col min="2" max="2" width="29.42578125" customWidth="1"/>
    <col min="4" max="4" width="27.85546875" customWidth="1"/>
    <col min="15" max="15" width="25.85546875" customWidth="1"/>
  </cols>
  <sheetData>
    <row r="1" spans="1:16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4600</v>
      </c>
      <c r="L1" s="141" t="s">
        <v>5234</v>
      </c>
      <c r="M1" s="141" t="s">
        <v>4976</v>
      </c>
      <c r="N1" s="141" t="s">
        <v>270</v>
      </c>
      <c r="O1" s="141" t="s">
        <v>4491</v>
      </c>
      <c r="P1" s="141" t="s">
        <v>3317</v>
      </c>
    </row>
    <row r="2" spans="1:16" x14ac:dyDescent="0.25">
      <c r="A2" s="48">
        <v>45842</v>
      </c>
      <c r="B2" s="36" t="s">
        <v>4858</v>
      </c>
      <c r="C2" s="36"/>
      <c r="D2" s="36" t="s">
        <v>5232</v>
      </c>
      <c r="E2" s="36">
        <v>2800</v>
      </c>
      <c r="F2" s="36" t="s">
        <v>4920</v>
      </c>
      <c r="G2" s="36" t="s">
        <v>4963</v>
      </c>
      <c r="H2" s="36" t="s">
        <v>5233</v>
      </c>
      <c r="I2" s="36"/>
      <c r="J2" s="36"/>
      <c r="K2" s="36"/>
      <c r="L2" s="36"/>
      <c r="M2" s="36"/>
      <c r="N2" s="36">
        <v>14150</v>
      </c>
      <c r="O2" s="36" t="s">
        <v>4540</v>
      </c>
    </row>
    <row r="3" spans="1:16" x14ac:dyDescent="0.25">
      <c r="A3" s="36" t="s">
        <v>4859</v>
      </c>
      <c r="B3" s="36" t="s">
        <v>4860</v>
      </c>
      <c r="C3" s="36"/>
      <c r="D3" s="36" t="s">
        <v>4861</v>
      </c>
      <c r="E3" s="36">
        <v>15200</v>
      </c>
      <c r="F3" s="36" t="s">
        <v>4926</v>
      </c>
      <c r="G3" s="36" t="s">
        <v>4967</v>
      </c>
      <c r="H3" s="36" t="s">
        <v>5030</v>
      </c>
      <c r="I3" s="36"/>
      <c r="J3" s="36"/>
      <c r="K3" s="36"/>
      <c r="L3" s="36"/>
      <c r="M3" s="36"/>
      <c r="N3" s="36">
        <v>38000</v>
      </c>
      <c r="O3" s="36"/>
    </row>
    <row r="4" spans="1:16" x14ac:dyDescent="0.25">
      <c r="A4" s="48">
        <v>45843</v>
      </c>
      <c r="B4" s="36" t="s">
        <v>4862</v>
      </c>
      <c r="C4" s="36"/>
      <c r="D4" s="36" t="s">
        <v>4863</v>
      </c>
      <c r="E4" s="36">
        <v>2950</v>
      </c>
      <c r="F4" s="36" t="s">
        <v>4921</v>
      </c>
      <c r="G4" s="36" t="s">
        <v>4972</v>
      </c>
      <c r="H4" s="36"/>
      <c r="I4" s="36"/>
      <c r="J4" s="36"/>
      <c r="K4" s="36"/>
      <c r="L4" s="36"/>
      <c r="M4" s="36"/>
      <c r="N4" s="36">
        <v>5900</v>
      </c>
      <c r="O4" s="36"/>
    </row>
    <row r="5" spans="1:16" x14ac:dyDescent="0.25">
      <c r="A5" s="48">
        <v>45848</v>
      </c>
      <c r="B5" s="36" t="s">
        <v>4868</v>
      </c>
      <c r="C5" s="36"/>
      <c r="D5" s="36" t="s">
        <v>4992</v>
      </c>
      <c r="E5" s="36">
        <v>2950</v>
      </c>
      <c r="F5" s="36" t="s">
        <v>4931</v>
      </c>
      <c r="G5" s="36" t="s">
        <v>4973</v>
      </c>
      <c r="H5" s="36" t="s">
        <v>4993</v>
      </c>
      <c r="I5" s="36"/>
      <c r="J5" s="36"/>
      <c r="K5" s="36"/>
      <c r="L5" s="36"/>
      <c r="M5" s="36"/>
      <c r="N5" s="36">
        <v>5900</v>
      </c>
      <c r="O5" s="36" t="s">
        <v>4925</v>
      </c>
    </row>
    <row r="6" spans="1:16" x14ac:dyDescent="0.25">
      <c r="A6" s="48">
        <v>45850</v>
      </c>
      <c r="B6" s="36" t="s">
        <v>4874</v>
      </c>
      <c r="C6" s="36"/>
      <c r="D6" s="36" t="s">
        <v>4875</v>
      </c>
      <c r="E6" s="36">
        <v>6000</v>
      </c>
      <c r="F6" s="36" t="s">
        <v>4932</v>
      </c>
      <c r="G6" s="36" t="s">
        <v>4965</v>
      </c>
      <c r="H6" s="36" t="s">
        <v>5016</v>
      </c>
      <c r="I6" s="36" t="s">
        <v>5049</v>
      </c>
      <c r="J6" s="36"/>
      <c r="K6" s="36"/>
      <c r="L6" s="36"/>
      <c r="M6" s="36"/>
      <c r="N6" s="36">
        <v>10500</v>
      </c>
      <c r="O6" s="36"/>
    </row>
    <row r="7" spans="1:16" x14ac:dyDescent="0.25">
      <c r="A7" s="48">
        <v>45850</v>
      </c>
      <c r="B7" s="36" t="s">
        <v>4877</v>
      </c>
      <c r="C7" s="36"/>
      <c r="D7" s="36" t="s">
        <v>4878</v>
      </c>
      <c r="E7" s="36">
        <v>1000</v>
      </c>
      <c r="F7" s="36" t="s">
        <v>4885</v>
      </c>
      <c r="G7" s="36" t="s">
        <v>4974</v>
      </c>
      <c r="H7" s="36"/>
      <c r="I7" s="36"/>
      <c r="J7" s="36"/>
      <c r="K7" s="36"/>
      <c r="L7" s="36"/>
      <c r="M7" s="36"/>
      <c r="N7" s="36">
        <v>5900</v>
      </c>
      <c r="O7" s="36" t="s">
        <v>4925</v>
      </c>
      <c r="P7" t="s">
        <v>4975</v>
      </c>
    </row>
    <row r="8" spans="1:16" x14ac:dyDescent="0.25">
      <c r="A8" s="48">
        <v>45852</v>
      </c>
      <c r="B8" s="36" t="s">
        <v>4882</v>
      </c>
      <c r="C8" s="36"/>
      <c r="D8" s="36" t="s">
        <v>4883</v>
      </c>
      <c r="E8" s="36">
        <v>4000</v>
      </c>
      <c r="F8" s="36" t="s">
        <v>4903</v>
      </c>
      <c r="G8" s="36" t="s">
        <v>4948</v>
      </c>
      <c r="H8" s="36" t="s">
        <v>4961</v>
      </c>
      <c r="I8" s="36" t="s">
        <v>3056</v>
      </c>
      <c r="J8" s="36" t="s">
        <v>4995</v>
      </c>
      <c r="K8" s="36"/>
      <c r="L8" s="36"/>
      <c r="M8" s="36"/>
      <c r="N8" s="36">
        <v>23000</v>
      </c>
      <c r="O8" s="36"/>
    </row>
    <row r="9" spans="1:16" x14ac:dyDescent="0.25">
      <c r="A9" s="48">
        <v>45861</v>
      </c>
      <c r="B9" s="36" t="s">
        <v>4896</v>
      </c>
      <c r="C9" s="36"/>
      <c r="D9" s="36" t="s">
        <v>4897</v>
      </c>
      <c r="E9" s="36">
        <v>7680</v>
      </c>
      <c r="F9" s="36" t="s">
        <v>4959</v>
      </c>
      <c r="G9" s="36" t="s">
        <v>5021</v>
      </c>
      <c r="H9" s="36"/>
      <c r="I9" s="36"/>
      <c r="J9" s="36"/>
      <c r="K9" s="36"/>
      <c r="L9" s="36"/>
      <c r="M9" s="36"/>
      <c r="N9" s="36">
        <v>19200</v>
      </c>
      <c r="O9" s="36" t="s">
        <v>4540</v>
      </c>
    </row>
    <row r="10" spans="1:16" x14ac:dyDescent="0.25">
      <c r="A10" s="48">
        <v>45862</v>
      </c>
      <c r="B10" s="36" t="s">
        <v>4898</v>
      </c>
      <c r="C10" s="36"/>
      <c r="D10" s="36" t="s">
        <v>5235</v>
      </c>
      <c r="E10" s="36">
        <v>3100</v>
      </c>
      <c r="F10" s="36" t="s">
        <v>4945</v>
      </c>
      <c r="G10" s="36" t="s">
        <v>4987</v>
      </c>
      <c r="H10" s="36" t="s">
        <v>5023</v>
      </c>
      <c r="I10" s="36" t="s">
        <v>5054</v>
      </c>
      <c r="J10" s="36" t="s">
        <v>2245</v>
      </c>
      <c r="K10" s="36" t="s">
        <v>5120</v>
      </c>
      <c r="L10" s="36" t="s">
        <v>5177</v>
      </c>
      <c r="M10" s="35">
        <v>46116</v>
      </c>
      <c r="N10" s="36">
        <v>17150</v>
      </c>
      <c r="O10" s="36" t="s">
        <v>4540</v>
      </c>
    </row>
    <row r="11" spans="1:16" x14ac:dyDescent="0.25">
      <c r="A11" s="48">
        <v>45863</v>
      </c>
      <c r="B11" s="36" t="s">
        <v>4902</v>
      </c>
      <c r="C11" s="36"/>
      <c r="D11" s="36" t="s">
        <v>5029</v>
      </c>
      <c r="E11" s="36">
        <v>3000</v>
      </c>
      <c r="F11" s="36" t="s">
        <v>4949</v>
      </c>
      <c r="G11" s="36" t="s">
        <v>4990</v>
      </c>
      <c r="H11" s="36" t="s">
        <v>5152</v>
      </c>
      <c r="I11" s="36"/>
      <c r="J11" s="36"/>
      <c r="K11" s="36"/>
      <c r="L11" s="36"/>
      <c r="M11" s="36"/>
      <c r="N11" s="36">
        <v>16100</v>
      </c>
      <c r="O11" s="36" t="s">
        <v>4540</v>
      </c>
    </row>
    <row r="12" spans="1:16" x14ac:dyDescent="0.25">
      <c r="A12" s="48">
        <v>45868</v>
      </c>
      <c r="B12" s="36" t="s">
        <v>4908</v>
      </c>
      <c r="C12" s="36"/>
      <c r="D12" s="36" t="s">
        <v>4937</v>
      </c>
      <c r="E12" s="36">
        <v>7600</v>
      </c>
      <c r="F12" s="36" t="s">
        <v>4968</v>
      </c>
      <c r="G12" s="36" t="s">
        <v>4989</v>
      </c>
      <c r="H12" s="36"/>
      <c r="I12" s="36"/>
      <c r="J12" s="36"/>
      <c r="K12" s="36"/>
      <c r="L12" s="36"/>
      <c r="M12" s="36"/>
      <c r="N12" s="36">
        <v>19000</v>
      </c>
      <c r="O12" s="36" t="s">
        <v>4540</v>
      </c>
    </row>
    <row r="13" spans="1:16" x14ac:dyDescent="0.25">
      <c r="A13" s="48">
        <v>45869</v>
      </c>
      <c r="B13" s="36" t="s">
        <v>4909</v>
      </c>
      <c r="C13" s="36"/>
      <c r="D13" s="36" t="s">
        <v>4910</v>
      </c>
      <c r="E13" s="36">
        <v>2800</v>
      </c>
      <c r="F13" s="36" t="s">
        <v>4958</v>
      </c>
      <c r="G13" s="36" t="s">
        <v>5059</v>
      </c>
      <c r="H13" s="36" t="s">
        <v>5093</v>
      </c>
      <c r="I13" s="36"/>
      <c r="J13" s="36"/>
      <c r="K13" s="36"/>
      <c r="L13" s="36"/>
      <c r="M13" s="36"/>
      <c r="N13" s="36">
        <v>18550</v>
      </c>
      <c r="O13" s="36" t="s">
        <v>4540</v>
      </c>
    </row>
    <row r="14" spans="1:16" x14ac:dyDescent="0.25">
      <c r="A14" s="48">
        <v>45869</v>
      </c>
      <c r="B14" s="36" t="s">
        <v>4912</v>
      </c>
      <c r="C14" s="36"/>
      <c r="D14" s="36" t="s">
        <v>4913</v>
      </c>
      <c r="E14" s="36">
        <v>4600</v>
      </c>
      <c r="F14" s="36" t="s">
        <v>4960</v>
      </c>
      <c r="G14" s="36" t="s">
        <v>4994</v>
      </c>
      <c r="H14" s="36" t="s">
        <v>5028</v>
      </c>
      <c r="I14" s="36" t="s">
        <v>5062</v>
      </c>
      <c r="J14" s="36"/>
      <c r="K14" s="36"/>
      <c r="L14" s="36"/>
      <c r="M14" s="36"/>
      <c r="N14" s="36">
        <v>23000</v>
      </c>
      <c r="O14" s="36" t="s">
        <v>4540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F235-B160-4227-A9C3-3DE0DD2CB219}">
  <dimension ref="A1:L4"/>
  <sheetViews>
    <sheetView workbookViewId="0">
      <selection activeCell="A2" sqref="A2"/>
    </sheetView>
  </sheetViews>
  <sheetFormatPr baseColWidth="10" defaultRowHeight="15" x14ac:dyDescent="0.25"/>
  <cols>
    <col min="2" max="2" width="19.85546875" customWidth="1"/>
    <col min="4" max="4" width="25" customWidth="1"/>
    <col min="12" max="12" width="25.28515625" customWidth="1"/>
  </cols>
  <sheetData>
    <row r="1" spans="1:12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4491</v>
      </c>
    </row>
    <row r="2" spans="1:12" x14ac:dyDescent="0.25">
      <c r="A2" s="48">
        <v>45871</v>
      </c>
      <c r="B2" s="36" t="s">
        <v>4915</v>
      </c>
      <c r="C2" s="36"/>
      <c r="D2" s="36" t="s">
        <v>4916</v>
      </c>
      <c r="E2" s="36">
        <v>2950</v>
      </c>
      <c r="F2" s="36" t="s">
        <v>4962</v>
      </c>
      <c r="G2" s="36"/>
      <c r="H2" s="36"/>
      <c r="I2" s="36"/>
      <c r="J2" s="36"/>
      <c r="K2" s="36">
        <v>5900</v>
      </c>
      <c r="L2" s="36" t="s">
        <v>4917</v>
      </c>
    </row>
    <row r="3" spans="1:12" x14ac:dyDescent="0.25">
      <c r="A3" s="48">
        <v>45875</v>
      </c>
      <c r="B3" s="36" t="s">
        <v>4922</v>
      </c>
      <c r="C3" s="36"/>
      <c r="D3" s="36" t="s">
        <v>4979</v>
      </c>
      <c r="E3" s="36">
        <v>1000</v>
      </c>
      <c r="F3" s="36" t="s">
        <v>4933</v>
      </c>
      <c r="G3" s="36" t="s">
        <v>4966</v>
      </c>
      <c r="H3" s="36" t="s">
        <v>4978</v>
      </c>
      <c r="I3" s="36"/>
      <c r="J3" s="36" t="s">
        <v>5005</v>
      </c>
      <c r="K3" s="36">
        <v>15000</v>
      </c>
      <c r="L3" s="36" t="s">
        <v>4540</v>
      </c>
    </row>
    <row r="4" spans="1:12" x14ac:dyDescent="0.25">
      <c r="A4" s="48">
        <v>45890</v>
      </c>
      <c r="B4" s="36" t="s">
        <v>4943</v>
      </c>
      <c r="C4" s="36"/>
      <c r="D4" s="36" t="s">
        <v>4944</v>
      </c>
      <c r="E4" s="36">
        <v>2950</v>
      </c>
      <c r="F4" s="36" t="s">
        <v>4969</v>
      </c>
      <c r="G4" s="36"/>
      <c r="H4" s="36"/>
      <c r="I4" s="36"/>
      <c r="J4" s="36"/>
      <c r="K4" s="36">
        <v>5900</v>
      </c>
      <c r="L4" s="36"/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EA9C-2766-42CF-89D5-49C9B4C8AAFF}">
  <dimension ref="A1:T11"/>
  <sheetViews>
    <sheetView zoomScale="178" workbookViewId="0">
      <selection activeCell="C13" sqref="C13"/>
    </sheetView>
  </sheetViews>
  <sheetFormatPr baseColWidth="10" defaultRowHeight="15" x14ac:dyDescent="0.25"/>
  <cols>
    <col min="2" max="2" width="24.140625" customWidth="1"/>
    <col min="4" max="4" width="37" customWidth="1"/>
    <col min="15" max="15" width="25.42578125" customWidth="1"/>
  </cols>
  <sheetData>
    <row r="1" spans="1:20" ht="9.75" customHeight="1" x14ac:dyDescent="0.25">
      <c r="A1" s="190" t="s">
        <v>9</v>
      </c>
      <c r="B1" s="191" t="s">
        <v>0</v>
      </c>
      <c r="C1" s="191" t="s">
        <v>5296</v>
      </c>
      <c r="D1" s="191" t="s">
        <v>4010</v>
      </c>
      <c r="E1" s="191" t="s">
        <v>3905</v>
      </c>
      <c r="F1" s="191" t="s">
        <v>3906</v>
      </c>
      <c r="G1" s="191" t="s">
        <v>4258</v>
      </c>
      <c r="H1" s="191" t="s">
        <v>4259</v>
      </c>
      <c r="I1" s="191" t="s">
        <v>4260</v>
      </c>
      <c r="J1" s="191" t="s">
        <v>4261</v>
      </c>
      <c r="K1" s="191" t="s">
        <v>4600</v>
      </c>
      <c r="L1" s="191" t="s">
        <v>4976</v>
      </c>
      <c r="M1" s="191" t="s">
        <v>4984</v>
      </c>
      <c r="N1" s="191" t="s">
        <v>5250</v>
      </c>
      <c r="O1" s="191" t="s">
        <v>5292</v>
      </c>
      <c r="P1" s="191" t="s">
        <v>5334</v>
      </c>
      <c r="Q1" s="191" t="s">
        <v>270</v>
      </c>
      <c r="R1" s="196" t="s">
        <v>4971</v>
      </c>
      <c r="S1" s="191" t="s">
        <v>3317</v>
      </c>
    </row>
    <row r="2" spans="1:20" ht="11.25" customHeight="1" x14ac:dyDescent="0.25">
      <c r="A2" s="192">
        <v>45912</v>
      </c>
      <c r="B2" s="193" t="s">
        <v>4970</v>
      </c>
      <c r="C2" s="193"/>
      <c r="D2" s="193" t="s">
        <v>3114</v>
      </c>
      <c r="E2" s="193">
        <v>1800</v>
      </c>
      <c r="F2" s="193" t="s">
        <v>5013</v>
      </c>
      <c r="G2" s="193" t="s">
        <v>5038</v>
      </c>
      <c r="H2" s="197" t="s">
        <v>5074</v>
      </c>
      <c r="I2" s="193" t="s">
        <v>5103</v>
      </c>
      <c r="J2" s="193"/>
      <c r="K2" s="193"/>
      <c r="L2" s="193"/>
      <c r="M2" s="193"/>
      <c r="N2" s="193"/>
      <c r="O2" s="193"/>
      <c r="P2" s="193"/>
      <c r="Q2" s="193">
        <v>9000</v>
      </c>
      <c r="R2" s="198"/>
      <c r="S2" s="183"/>
    </row>
    <row r="3" spans="1:20" ht="12.75" customHeight="1" x14ac:dyDescent="0.25">
      <c r="A3" s="192">
        <v>45913</v>
      </c>
      <c r="B3" s="193" t="s">
        <v>4982</v>
      </c>
      <c r="C3" s="193"/>
      <c r="D3" s="193" t="s">
        <v>571</v>
      </c>
      <c r="E3" s="193">
        <v>6000</v>
      </c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>
        <v>5900</v>
      </c>
      <c r="R3" s="198"/>
      <c r="S3" s="1"/>
    </row>
    <row r="4" spans="1:20" x14ac:dyDescent="0.25">
      <c r="A4" s="192">
        <v>45915</v>
      </c>
      <c r="B4" s="193" t="s">
        <v>4983</v>
      </c>
      <c r="C4" s="193"/>
      <c r="D4" s="193" t="s">
        <v>5087</v>
      </c>
      <c r="E4" s="193">
        <v>5600</v>
      </c>
      <c r="F4" s="193" t="s">
        <v>5015</v>
      </c>
      <c r="G4" s="193" t="s">
        <v>5051</v>
      </c>
      <c r="H4" s="193" t="s">
        <v>5088</v>
      </c>
      <c r="I4" s="193" t="s">
        <v>5139</v>
      </c>
      <c r="J4" s="193"/>
      <c r="K4" s="193"/>
      <c r="L4" s="193"/>
      <c r="M4" s="193"/>
      <c r="N4" s="193"/>
      <c r="O4" s="193"/>
      <c r="P4" s="193"/>
      <c r="Q4" s="193">
        <v>28000</v>
      </c>
      <c r="R4" s="198" t="s">
        <v>4597</v>
      </c>
      <c r="S4" s="1"/>
    </row>
    <row r="5" spans="1:20" ht="10.5" customHeight="1" x14ac:dyDescent="0.25">
      <c r="A5" s="192">
        <v>45920</v>
      </c>
      <c r="B5" s="193" t="s">
        <v>5069</v>
      </c>
      <c r="C5" s="206"/>
      <c r="D5" s="194" t="s">
        <v>5331</v>
      </c>
      <c r="E5" s="194">
        <v>7300</v>
      </c>
      <c r="F5" s="194" t="s">
        <v>5070</v>
      </c>
      <c r="G5" s="199" t="s">
        <v>5155</v>
      </c>
      <c r="H5" s="194" t="s">
        <v>5151</v>
      </c>
      <c r="I5" s="194" t="s">
        <v>5277</v>
      </c>
      <c r="J5" s="194" t="s">
        <v>5306</v>
      </c>
      <c r="K5" s="194" t="s">
        <v>5307</v>
      </c>
      <c r="L5" s="194" t="s">
        <v>5357</v>
      </c>
      <c r="M5" s="194"/>
      <c r="N5" s="194"/>
      <c r="O5" s="194"/>
      <c r="P5" s="194"/>
      <c r="Q5" s="194">
        <v>42500</v>
      </c>
      <c r="R5" s="200"/>
      <c r="S5" s="1"/>
    </row>
    <row r="6" spans="1:20" ht="10.5" customHeight="1" x14ac:dyDescent="0.25">
      <c r="A6" s="192">
        <v>45925</v>
      </c>
      <c r="B6" s="193" t="s">
        <v>4988</v>
      </c>
      <c r="C6" s="193"/>
      <c r="D6" s="193" t="s">
        <v>5073</v>
      </c>
      <c r="E6" s="193">
        <v>10000</v>
      </c>
      <c r="F6" s="193" t="s">
        <v>5024</v>
      </c>
      <c r="G6" s="193" t="s">
        <v>5057</v>
      </c>
      <c r="H6" s="193" t="s">
        <v>5153</v>
      </c>
      <c r="I6" s="193"/>
      <c r="J6" s="193"/>
      <c r="K6" s="193"/>
      <c r="L6" s="193"/>
      <c r="M6" s="193"/>
      <c r="N6" s="193"/>
      <c r="O6" s="193"/>
      <c r="P6" s="193"/>
      <c r="Q6" s="193">
        <v>33000</v>
      </c>
      <c r="R6" s="198"/>
      <c r="S6" s="4"/>
    </row>
    <row r="7" spans="1:20" ht="10.5" customHeight="1" x14ac:dyDescent="0.25">
      <c r="A7" s="192">
        <v>45927</v>
      </c>
      <c r="B7" s="193" t="s">
        <v>5241</v>
      </c>
      <c r="C7" s="193"/>
      <c r="D7" s="193" t="s">
        <v>5294</v>
      </c>
      <c r="E7" s="193">
        <v>1000</v>
      </c>
      <c r="F7" s="193" t="s">
        <v>4991</v>
      </c>
      <c r="G7" s="193" t="s">
        <v>5025</v>
      </c>
      <c r="H7" s="193" t="s">
        <v>5056</v>
      </c>
      <c r="I7" s="193" t="s">
        <v>5084</v>
      </c>
      <c r="J7" s="193" t="s">
        <v>5112</v>
      </c>
      <c r="K7" s="193" t="s">
        <v>5146</v>
      </c>
      <c r="L7" s="201" t="s">
        <v>5198</v>
      </c>
      <c r="M7" s="201" t="s">
        <v>5251</v>
      </c>
      <c r="N7" s="201" t="s">
        <v>5252</v>
      </c>
      <c r="O7" s="201" t="s">
        <v>5293</v>
      </c>
      <c r="P7" s="201" t="s">
        <v>5335</v>
      </c>
      <c r="Q7" s="4">
        <v>25400</v>
      </c>
      <c r="R7" s="198" t="s">
        <v>4597</v>
      </c>
      <c r="S7" s="193"/>
      <c r="T7" s="15"/>
    </row>
    <row r="8" spans="1:20" ht="10.5" customHeight="1" x14ac:dyDescent="0.25">
      <c r="A8" s="192">
        <v>45927</v>
      </c>
      <c r="B8" s="193" t="s">
        <v>5031</v>
      </c>
      <c r="C8" s="193"/>
      <c r="D8" s="193" t="s">
        <v>5269</v>
      </c>
      <c r="E8" s="193">
        <v>5000</v>
      </c>
      <c r="F8" s="193" t="s">
        <v>5032</v>
      </c>
      <c r="G8" s="193" t="s">
        <v>5064</v>
      </c>
      <c r="H8" s="193" t="s">
        <v>5097</v>
      </c>
      <c r="I8" s="193" t="s">
        <v>5123</v>
      </c>
      <c r="J8" s="193" t="s">
        <v>5188</v>
      </c>
      <c r="K8" s="193" t="s">
        <v>5270</v>
      </c>
      <c r="L8" s="193"/>
      <c r="M8" s="193"/>
      <c r="N8" s="193"/>
      <c r="O8" s="193"/>
      <c r="P8" s="193"/>
      <c r="Q8" s="193">
        <v>15450</v>
      </c>
      <c r="R8" s="198" t="s">
        <v>5124</v>
      </c>
      <c r="S8" s="4"/>
    </row>
    <row r="9" spans="1:20" x14ac:dyDescent="0.25">
      <c r="A9" s="195"/>
      <c r="B9" s="194"/>
      <c r="C9" s="194"/>
      <c r="D9" s="194"/>
      <c r="E9" s="19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54"/>
      <c r="S9" s="1"/>
    </row>
    <row r="11" spans="1:20" x14ac:dyDescent="0.25">
      <c r="L11" t="s">
        <v>5242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EC6B-D259-4B6F-B281-4DE36DAC9A8D}">
  <dimension ref="A1:P17"/>
  <sheetViews>
    <sheetView workbookViewId="0">
      <selection activeCell="P12" sqref="P12"/>
    </sheetView>
  </sheetViews>
  <sheetFormatPr baseColWidth="10" defaultRowHeight="15" x14ac:dyDescent="0.25"/>
  <cols>
    <col min="2" max="2" width="24.5703125" customWidth="1"/>
    <col min="4" max="4" width="43.28515625" customWidth="1"/>
    <col min="7" max="7" width="13" customWidth="1"/>
    <col min="14" max="14" width="14.140625" customWidth="1"/>
    <col min="15" max="15" width="12" customWidth="1"/>
  </cols>
  <sheetData>
    <row r="1" spans="1:16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4600</v>
      </c>
      <c r="L1" s="141" t="s">
        <v>4976</v>
      </c>
      <c r="M1" s="141" t="s">
        <v>4984</v>
      </c>
      <c r="N1" s="141" t="s">
        <v>270</v>
      </c>
      <c r="O1" s="142" t="s">
        <v>4971</v>
      </c>
      <c r="P1" s="141" t="s">
        <v>3317</v>
      </c>
    </row>
    <row r="2" spans="1:16" x14ac:dyDescent="0.25">
      <c r="A2" s="26">
        <v>45934</v>
      </c>
      <c r="B2" s="10" t="s">
        <v>928</v>
      </c>
      <c r="C2" s="10"/>
      <c r="D2" s="10" t="s">
        <v>4998</v>
      </c>
      <c r="E2" s="10">
        <v>2540</v>
      </c>
      <c r="F2" s="10" t="s">
        <v>5040</v>
      </c>
      <c r="G2" s="10" t="s">
        <v>5052</v>
      </c>
      <c r="H2" s="10"/>
      <c r="I2" s="10"/>
      <c r="J2" s="10"/>
      <c r="K2" s="10"/>
      <c r="L2" s="10"/>
      <c r="M2" s="10"/>
      <c r="N2" s="10">
        <v>12700</v>
      </c>
      <c r="O2" s="4"/>
      <c r="P2" s="4"/>
    </row>
    <row r="3" spans="1:16" x14ac:dyDescent="0.25">
      <c r="A3" s="26">
        <v>45934</v>
      </c>
      <c r="B3" s="10" t="s">
        <v>4997</v>
      </c>
      <c r="C3" s="10"/>
      <c r="D3" s="10" t="s">
        <v>4999</v>
      </c>
      <c r="E3" s="10">
        <v>7200</v>
      </c>
      <c r="F3" s="10" t="s">
        <v>5020</v>
      </c>
      <c r="G3" s="10" t="s">
        <v>5035</v>
      </c>
      <c r="H3" s="10" t="s">
        <v>5068</v>
      </c>
      <c r="I3" s="10">
        <v>3</v>
      </c>
      <c r="J3" s="10" t="s">
        <v>5125</v>
      </c>
      <c r="K3" s="10"/>
      <c r="L3" s="10"/>
      <c r="M3" s="10"/>
      <c r="N3" s="10">
        <v>36000</v>
      </c>
      <c r="O3" s="4" t="s">
        <v>5000</v>
      </c>
      <c r="P3" s="4"/>
    </row>
    <row r="4" spans="1:16" x14ac:dyDescent="0.25">
      <c r="A4" s="26">
        <v>45939</v>
      </c>
      <c r="B4" s="10" t="s">
        <v>5007</v>
      </c>
      <c r="C4" s="10"/>
      <c r="D4" s="10" t="s">
        <v>5008</v>
      </c>
      <c r="E4" s="10">
        <v>36250</v>
      </c>
      <c r="F4" s="10"/>
      <c r="G4" s="10"/>
      <c r="H4" s="10"/>
      <c r="I4" s="10"/>
      <c r="J4" s="10"/>
      <c r="K4" s="10"/>
      <c r="L4" s="10"/>
      <c r="M4" s="10"/>
      <c r="N4" s="10">
        <v>36250</v>
      </c>
      <c r="O4" s="4" t="s">
        <v>4646</v>
      </c>
      <c r="P4" s="4"/>
    </row>
    <row r="5" spans="1:16" x14ac:dyDescent="0.25">
      <c r="A5" s="26">
        <v>45940</v>
      </c>
      <c r="B5" s="10" t="s">
        <v>5009</v>
      </c>
      <c r="C5" s="10"/>
      <c r="D5" s="10" t="s">
        <v>5175</v>
      </c>
      <c r="E5" s="10">
        <v>3000</v>
      </c>
      <c r="F5" s="10" t="s">
        <v>5045</v>
      </c>
      <c r="G5" s="10" t="s">
        <v>2215</v>
      </c>
      <c r="H5" s="10" t="s">
        <v>5099</v>
      </c>
      <c r="I5" s="10" t="s">
        <v>5132</v>
      </c>
      <c r="J5" s="10" t="s">
        <v>5176</v>
      </c>
      <c r="K5" s="10"/>
      <c r="L5" s="10"/>
      <c r="M5" s="10"/>
      <c r="N5" s="10">
        <v>15000</v>
      </c>
      <c r="O5" s="4" t="s">
        <v>4540</v>
      </c>
      <c r="P5" s="4"/>
    </row>
    <row r="6" spans="1:16" x14ac:dyDescent="0.25">
      <c r="A6" s="26">
        <v>45941</v>
      </c>
      <c r="B6" s="10" t="s">
        <v>5010</v>
      </c>
      <c r="C6" s="10"/>
      <c r="D6" s="10" t="s">
        <v>5258</v>
      </c>
      <c r="E6" s="10">
        <v>5900</v>
      </c>
      <c r="F6" s="10" t="s">
        <v>5078</v>
      </c>
      <c r="G6" s="10" t="s">
        <v>5150</v>
      </c>
      <c r="H6" s="10" t="s">
        <v>5259</v>
      </c>
      <c r="I6" s="10"/>
      <c r="J6" s="10"/>
      <c r="K6" s="10"/>
      <c r="L6" s="10"/>
      <c r="M6" s="10"/>
      <c r="N6" s="10">
        <v>31740</v>
      </c>
      <c r="O6" s="51" t="s">
        <v>4597</v>
      </c>
      <c r="P6" s="4"/>
    </row>
    <row r="7" spans="1:16" x14ac:dyDescent="0.25">
      <c r="A7" s="26">
        <v>45941</v>
      </c>
      <c r="B7" s="10" t="s">
        <v>5011</v>
      </c>
      <c r="C7" s="10"/>
      <c r="D7" s="10" t="s">
        <v>5012</v>
      </c>
      <c r="E7" s="10">
        <v>5500</v>
      </c>
      <c r="F7" s="10" t="s">
        <v>5047</v>
      </c>
      <c r="G7" s="10" t="s">
        <v>5077</v>
      </c>
      <c r="H7" s="10"/>
      <c r="I7" s="10"/>
      <c r="J7" s="10"/>
      <c r="K7" s="10"/>
      <c r="L7" s="10"/>
      <c r="M7" s="10"/>
      <c r="N7" s="10">
        <v>12900</v>
      </c>
      <c r="O7" s="4"/>
      <c r="P7" s="4"/>
    </row>
    <row r="8" spans="1:16" x14ac:dyDescent="0.25">
      <c r="A8" s="26" t="s">
        <v>5200</v>
      </c>
      <c r="B8" s="10" t="s">
        <v>5017</v>
      </c>
      <c r="C8" s="10"/>
      <c r="D8" s="10" t="s">
        <v>5191</v>
      </c>
      <c r="E8" s="10">
        <v>1500</v>
      </c>
      <c r="F8" s="10" t="s">
        <v>5061</v>
      </c>
      <c r="G8" s="10" t="s">
        <v>4592</v>
      </c>
      <c r="H8" s="10" t="s">
        <v>5190</v>
      </c>
      <c r="I8" s="10" t="s">
        <v>5192</v>
      </c>
      <c r="J8" s="10" t="s">
        <v>5199</v>
      </c>
      <c r="K8" s="10"/>
      <c r="L8" s="10"/>
      <c r="M8" s="10"/>
      <c r="N8" s="10">
        <v>20050</v>
      </c>
      <c r="O8" s="4" t="s">
        <v>4540</v>
      </c>
      <c r="P8" s="4"/>
    </row>
    <row r="9" spans="1:16" x14ac:dyDescent="0.25">
      <c r="A9" s="26">
        <v>45948</v>
      </c>
      <c r="B9" s="10" t="s">
        <v>5018</v>
      </c>
      <c r="C9" s="10"/>
      <c r="D9" s="10" t="s">
        <v>5019</v>
      </c>
      <c r="E9" s="10">
        <v>10000</v>
      </c>
      <c r="F9" s="10" t="s">
        <v>5089</v>
      </c>
      <c r="G9" s="10" t="s">
        <v>5110</v>
      </c>
      <c r="H9" s="10" t="s">
        <v>5170</v>
      </c>
      <c r="I9" s="10"/>
      <c r="J9" s="10"/>
      <c r="K9" s="10"/>
      <c r="L9" s="10"/>
      <c r="M9" s="10"/>
      <c r="N9" s="10">
        <v>25000</v>
      </c>
      <c r="O9" s="4"/>
      <c r="P9" s="4"/>
    </row>
    <row r="10" spans="1:16" x14ac:dyDescent="0.25">
      <c r="A10" s="205">
        <v>45955</v>
      </c>
      <c r="B10" s="22" t="s">
        <v>449</v>
      </c>
      <c r="C10" s="22"/>
      <c r="D10" s="22" t="s">
        <v>5044</v>
      </c>
      <c r="E10" s="22">
        <v>7200</v>
      </c>
      <c r="F10" s="22" t="s">
        <v>5055</v>
      </c>
      <c r="G10" s="22"/>
      <c r="H10" s="22"/>
      <c r="I10" s="22"/>
      <c r="J10" s="22"/>
      <c r="K10" s="22"/>
      <c r="L10" s="22"/>
      <c r="M10" s="22"/>
      <c r="N10" s="22">
        <v>39000</v>
      </c>
      <c r="O10" s="12" t="s">
        <v>4646</v>
      </c>
      <c r="P10" s="12"/>
    </row>
    <row r="11" spans="1:16" x14ac:dyDescent="0.25">
      <c r="A11" s="8">
        <v>45960</v>
      </c>
      <c r="B11" s="4" t="s">
        <v>5026</v>
      </c>
      <c r="C11" s="222"/>
      <c r="D11" s="4" t="s">
        <v>5415</v>
      </c>
      <c r="E11" s="4">
        <v>5000</v>
      </c>
      <c r="F11" s="4" t="s">
        <v>5058</v>
      </c>
      <c r="G11" s="4" t="s">
        <v>5094</v>
      </c>
      <c r="H11" s="4" t="s">
        <v>5121</v>
      </c>
      <c r="I11" s="4" t="s">
        <v>5178</v>
      </c>
      <c r="J11" s="4" t="s">
        <v>5196</v>
      </c>
      <c r="K11" s="4" t="s">
        <v>5245</v>
      </c>
      <c r="L11" s="4" t="s">
        <v>5354</v>
      </c>
      <c r="M11" s="4" t="s">
        <v>5400</v>
      </c>
      <c r="N11" s="4">
        <v>30000</v>
      </c>
      <c r="O11" s="4"/>
      <c r="P11" s="4"/>
    </row>
    <row r="12" spans="1:16" x14ac:dyDescent="0.25">
      <c r="A12" s="188">
        <v>45960</v>
      </c>
      <c r="B12" s="68" t="s">
        <v>5027</v>
      </c>
      <c r="C12" s="204"/>
      <c r="D12" s="68" t="s">
        <v>5494</v>
      </c>
      <c r="E12" s="68">
        <v>2300</v>
      </c>
      <c r="F12" s="68" t="s">
        <v>5067</v>
      </c>
      <c r="G12" s="68" t="s">
        <v>5096</v>
      </c>
      <c r="H12" s="68" t="s">
        <v>5156</v>
      </c>
      <c r="I12" s="68" t="s">
        <v>5157</v>
      </c>
      <c r="J12" s="68" t="s">
        <v>5231</v>
      </c>
      <c r="K12" s="68" t="s">
        <v>5290</v>
      </c>
      <c r="L12" s="68" t="s">
        <v>5339</v>
      </c>
      <c r="M12" s="68" t="s">
        <v>5397</v>
      </c>
      <c r="N12" s="68" t="s">
        <v>5486</v>
      </c>
      <c r="O12" s="68" t="s">
        <v>5487</v>
      </c>
      <c r="P12" s="68">
        <v>15550</v>
      </c>
    </row>
    <row r="17" spans="10:10" x14ac:dyDescent="0.25">
      <c r="J17" t="s">
        <v>5158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C93E-D512-48F3-AC1A-438089E411C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E2ED-04D4-4DFE-993A-7EDD2950976C}">
  <dimension ref="A2:P12"/>
  <sheetViews>
    <sheetView zoomScale="115" zoomScaleNormal="115" workbookViewId="0">
      <selection activeCell="A5" sqref="A5"/>
    </sheetView>
  </sheetViews>
  <sheetFormatPr baseColWidth="10" defaultRowHeight="15" x14ac:dyDescent="0.25"/>
  <cols>
    <col min="1" max="1" width="12.140625" customWidth="1"/>
    <col min="2" max="2" width="24.140625" customWidth="1"/>
    <col min="5" max="5" width="53.28515625" customWidth="1"/>
    <col min="14" max="14" width="15" customWidth="1"/>
  </cols>
  <sheetData>
    <row r="2" spans="1:16" x14ac:dyDescent="0.25">
      <c r="A2" s="141" t="s">
        <v>9</v>
      </c>
      <c r="B2" s="141" t="s">
        <v>0</v>
      </c>
      <c r="C2" s="141" t="s">
        <v>271</v>
      </c>
      <c r="D2" s="141" t="s">
        <v>5291</v>
      </c>
      <c r="E2" s="141" t="s">
        <v>4010</v>
      </c>
      <c r="F2" s="141" t="s">
        <v>3905</v>
      </c>
      <c r="G2" s="141" t="s">
        <v>3906</v>
      </c>
      <c r="H2" s="141" t="s">
        <v>4258</v>
      </c>
      <c r="I2" s="141" t="s">
        <v>4259</v>
      </c>
      <c r="J2" s="141" t="s">
        <v>4260</v>
      </c>
      <c r="K2" s="141" t="s">
        <v>4261</v>
      </c>
      <c r="L2" s="141" t="s">
        <v>4600</v>
      </c>
      <c r="M2" s="141" t="s">
        <v>270</v>
      </c>
      <c r="N2" s="141" t="s">
        <v>4491</v>
      </c>
      <c r="O2" s="141" t="s">
        <v>3317</v>
      </c>
      <c r="P2" s="141" t="s">
        <v>3390</v>
      </c>
    </row>
    <row r="3" spans="1:16" x14ac:dyDescent="0.25">
      <c r="A3" s="155">
        <v>45962</v>
      </c>
      <c r="B3" s="9" t="s">
        <v>5033</v>
      </c>
      <c r="C3" s="9"/>
      <c r="D3" s="10"/>
      <c r="E3" s="9" t="s">
        <v>5034</v>
      </c>
      <c r="F3" s="9">
        <v>3535</v>
      </c>
      <c r="G3" s="9"/>
      <c r="H3" s="9"/>
      <c r="I3" s="9"/>
      <c r="J3" s="9"/>
      <c r="K3" s="9"/>
      <c r="L3" s="9"/>
      <c r="M3" s="9">
        <v>7070</v>
      </c>
      <c r="N3" s="9"/>
    </row>
    <row r="4" spans="1:16" x14ac:dyDescent="0.25">
      <c r="A4" s="48">
        <v>45967</v>
      </c>
      <c r="B4" s="36" t="s">
        <v>5039</v>
      </c>
      <c r="C4" s="36"/>
      <c r="D4" s="4"/>
      <c r="E4" s="36" t="s">
        <v>5184</v>
      </c>
      <c r="F4" s="36">
        <v>3500</v>
      </c>
      <c r="G4" s="36" t="s">
        <v>5071</v>
      </c>
      <c r="H4" s="36" t="s">
        <v>5095</v>
      </c>
      <c r="I4" s="36" t="s">
        <v>5122</v>
      </c>
      <c r="J4" s="36" t="s">
        <v>5127</v>
      </c>
      <c r="K4" s="36" t="s">
        <v>5185</v>
      </c>
      <c r="L4" s="36"/>
      <c r="M4" s="36">
        <v>19950</v>
      </c>
      <c r="N4" s="36"/>
      <c r="O4" s="36"/>
      <c r="P4" s="36"/>
    </row>
    <row r="5" spans="1:16" x14ac:dyDescent="0.25">
      <c r="A5" s="48">
        <v>45969</v>
      </c>
      <c r="B5" s="36" t="s">
        <v>5041</v>
      </c>
      <c r="C5" s="36"/>
      <c r="D5" s="189"/>
      <c r="E5" s="36" t="s">
        <v>5042</v>
      </c>
      <c r="F5" s="36">
        <v>3000</v>
      </c>
      <c r="G5" s="36" t="s">
        <v>5072</v>
      </c>
      <c r="H5" s="36" t="s">
        <v>5098</v>
      </c>
      <c r="I5" s="36" t="s">
        <v>5147</v>
      </c>
      <c r="J5" s="36" t="s">
        <v>5195</v>
      </c>
      <c r="K5" s="36" t="s">
        <v>5236</v>
      </c>
      <c r="L5" s="36" t="s">
        <v>5264</v>
      </c>
      <c r="M5" s="36">
        <v>19200</v>
      </c>
      <c r="N5" s="36" t="s">
        <v>5043</v>
      </c>
      <c r="O5" s="36" t="s">
        <v>5148</v>
      </c>
      <c r="P5" s="36"/>
    </row>
    <row r="6" spans="1:16" x14ac:dyDescent="0.25">
      <c r="A6" s="48">
        <v>45971</v>
      </c>
      <c r="B6" s="36" t="s">
        <v>5075</v>
      </c>
      <c r="C6" s="36"/>
      <c r="D6" s="4"/>
      <c r="E6" s="36" t="s">
        <v>5046</v>
      </c>
      <c r="F6" s="36">
        <v>4600</v>
      </c>
      <c r="G6" s="36" t="s">
        <v>5076</v>
      </c>
      <c r="H6" s="36" t="s">
        <v>5102</v>
      </c>
      <c r="I6" s="36" t="s">
        <v>5131</v>
      </c>
      <c r="J6" s="36" t="s">
        <v>5208</v>
      </c>
      <c r="K6" s="36"/>
      <c r="L6" s="36"/>
      <c r="M6" s="36">
        <v>24850</v>
      </c>
      <c r="N6" s="36" t="s">
        <v>5043</v>
      </c>
      <c r="O6" s="36"/>
      <c r="P6" s="36"/>
    </row>
    <row r="7" spans="1:16" x14ac:dyDescent="0.25">
      <c r="A7" s="48">
        <v>45983</v>
      </c>
      <c r="B7" s="36" t="s">
        <v>5065</v>
      </c>
      <c r="C7" s="209"/>
      <c r="D7" s="210"/>
      <c r="E7" s="36" t="s">
        <v>5053</v>
      </c>
      <c r="F7" s="36">
        <v>3000</v>
      </c>
      <c r="G7" s="36" t="s">
        <v>5113</v>
      </c>
      <c r="H7" s="36" t="s">
        <v>5169</v>
      </c>
      <c r="I7" s="48" t="s">
        <v>5333</v>
      </c>
      <c r="J7" s="209"/>
      <c r="K7" s="209"/>
      <c r="L7" s="36"/>
      <c r="M7" s="15">
        <v>15000</v>
      </c>
      <c r="N7" s="15">
        <v>8</v>
      </c>
      <c r="O7" s="15"/>
      <c r="P7" s="15"/>
    </row>
    <row r="8" spans="1:16" x14ac:dyDescent="0.25">
      <c r="A8" s="155">
        <v>45990</v>
      </c>
      <c r="B8" s="9" t="s">
        <v>5060</v>
      </c>
      <c r="C8" s="9"/>
      <c r="D8" s="10"/>
      <c r="E8" s="9" t="s">
        <v>5116</v>
      </c>
      <c r="F8" s="9">
        <v>8340</v>
      </c>
      <c r="G8" s="9" t="s">
        <v>3256</v>
      </c>
      <c r="H8" s="9" t="s">
        <v>5115</v>
      </c>
      <c r="I8" s="9"/>
      <c r="J8" s="9"/>
      <c r="K8" s="36"/>
      <c r="L8" s="36"/>
      <c r="M8" s="36">
        <v>20850</v>
      </c>
      <c r="N8" s="36" t="s">
        <v>4540</v>
      </c>
    </row>
    <row r="9" spans="1:16" x14ac:dyDescent="0.25">
      <c r="D9" s="1"/>
    </row>
    <row r="12" spans="1:16" x14ac:dyDescent="0.25">
      <c r="E12" t="s">
        <v>5124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E977-D75C-493A-B2BA-78CB7A3DDCB8}">
  <dimension ref="A1:N6"/>
  <sheetViews>
    <sheetView workbookViewId="0">
      <selection activeCell="K4" sqref="K4"/>
    </sheetView>
  </sheetViews>
  <sheetFormatPr baseColWidth="10" defaultRowHeight="15" x14ac:dyDescent="0.25"/>
  <cols>
    <col min="2" max="2" width="30" customWidth="1"/>
    <col min="4" max="4" width="39.42578125" customWidth="1"/>
    <col min="13" max="13" width="15" customWidth="1"/>
  </cols>
  <sheetData>
    <row r="1" spans="1:14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4600</v>
      </c>
      <c r="L1" s="141" t="s">
        <v>270</v>
      </c>
      <c r="M1" s="141" t="s">
        <v>4491</v>
      </c>
      <c r="N1" s="141" t="s">
        <v>3317</v>
      </c>
    </row>
    <row r="2" spans="1:14" x14ac:dyDescent="0.25">
      <c r="A2" s="36" t="s">
        <v>5079</v>
      </c>
      <c r="B2" s="36" t="s">
        <v>5104</v>
      </c>
      <c r="C2" s="36"/>
      <c r="D2" s="36" t="s">
        <v>5140</v>
      </c>
      <c r="E2" s="36">
        <v>2680</v>
      </c>
      <c r="F2" s="36" t="s">
        <v>5105</v>
      </c>
      <c r="G2" s="36" t="s">
        <v>5141</v>
      </c>
      <c r="H2" s="36" t="s">
        <v>5189</v>
      </c>
      <c r="I2" s="36"/>
      <c r="J2" s="36"/>
      <c r="K2" s="36"/>
      <c r="L2" s="36">
        <v>16550</v>
      </c>
      <c r="M2" s="36"/>
    </row>
    <row r="3" spans="1:14" x14ac:dyDescent="0.25">
      <c r="A3" s="36" t="s">
        <v>5081</v>
      </c>
      <c r="B3" s="36" t="s">
        <v>5082</v>
      </c>
      <c r="C3" s="36"/>
      <c r="D3" s="36" t="s">
        <v>5083</v>
      </c>
      <c r="E3" s="36">
        <v>7000</v>
      </c>
      <c r="F3" s="36" t="s">
        <v>5106</v>
      </c>
      <c r="G3" s="36" t="s">
        <v>5133</v>
      </c>
      <c r="H3" s="36" t="s">
        <v>5201</v>
      </c>
      <c r="I3" s="36" t="s">
        <v>3512</v>
      </c>
      <c r="J3" s="36"/>
      <c r="K3" s="36"/>
      <c r="L3" s="36">
        <v>28000</v>
      </c>
      <c r="M3" s="36"/>
    </row>
    <row r="4" spans="1:14" s="36" customFormat="1" ht="12.75" customHeight="1" x14ac:dyDescent="0.25">
      <c r="A4" s="48">
        <v>46373</v>
      </c>
      <c r="B4" s="36" t="s">
        <v>5085</v>
      </c>
      <c r="C4" s="48">
        <v>46009</v>
      </c>
      <c r="D4" s="36" t="s">
        <v>5086</v>
      </c>
      <c r="E4" s="36">
        <v>4800</v>
      </c>
      <c r="F4" s="36" t="s">
        <v>5107</v>
      </c>
      <c r="G4" s="36" t="s">
        <v>5142</v>
      </c>
      <c r="H4" s="36" t="s">
        <v>5210</v>
      </c>
      <c r="I4" s="36" t="s">
        <v>5249</v>
      </c>
      <c r="J4" s="36" t="s">
        <v>5297</v>
      </c>
      <c r="K4" s="36" t="s">
        <v>5460</v>
      </c>
      <c r="L4" s="36" t="s">
        <v>5416</v>
      </c>
      <c r="M4" s="36" t="s">
        <v>5466</v>
      </c>
      <c r="N4" s="36">
        <v>24800</v>
      </c>
    </row>
    <row r="5" spans="1:14" s="36" customFormat="1" x14ac:dyDescent="0.25">
      <c r="A5" s="48">
        <v>46010</v>
      </c>
      <c r="B5" s="36" t="s">
        <v>5090</v>
      </c>
      <c r="D5" s="36" t="s">
        <v>5220</v>
      </c>
      <c r="E5" s="36">
        <v>3000</v>
      </c>
      <c r="F5" s="36" t="s">
        <v>2329</v>
      </c>
      <c r="G5" s="36" t="s">
        <v>2406</v>
      </c>
      <c r="H5" s="36" t="s">
        <v>5219</v>
      </c>
      <c r="I5" s="36" t="s">
        <v>5253</v>
      </c>
      <c r="J5" s="36" t="s">
        <v>5298</v>
      </c>
      <c r="K5" s="36" t="s">
        <v>5385</v>
      </c>
      <c r="L5" s="36">
        <v>33000</v>
      </c>
    </row>
    <row r="6" spans="1:14" x14ac:dyDescent="0.25">
      <c r="A6" s="48">
        <v>46011</v>
      </c>
      <c r="B6" s="36" t="s">
        <v>5091</v>
      </c>
      <c r="C6" s="208"/>
      <c r="D6" s="36" t="s">
        <v>5413</v>
      </c>
      <c r="E6" s="36">
        <v>3500</v>
      </c>
      <c r="F6" s="36" t="s">
        <v>5114</v>
      </c>
      <c r="G6" s="36" t="s">
        <v>5159</v>
      </c>
      <c r="H6" s="36" t="s">
        <v>5215</v>
      </c>
      <c r="I6" s="36" t="s">
        <v>5246</v>
      </c>
      <c r="J6" s="36"/>
      <c r="K6" s="36"/>
      <c r="L6" s="36">
        <v>17500</v>
      </c>
      <c r="M6" s="36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CE92-D17C-4BE9-A833-41C63E3A21A0}">
  <dimension ref="A1:M7"/>
  <sheetViews>
    <sheetView topLeftCell="B1" workbookViewId="0">
      <selection activeCell="K6" sqref="K6"/>
    </sheetView>
  </sheetViews>
  <sheetFormatPr baseColWidth="10" defaultRowHeight="15" x14ac:dyDescent="0.25"/>
  <cols>
    <col min="2" max="2" width="27.42578125" customWidth="1"/>
    <col min="4" max="4" width="36" customWidth="1"/>
    <col min="7" max="7" width="12.5703125" customWidth="1"/>
    <col min="12" max="12" width="15" customWidth="1"/>
  </cols>
  <sheetData>
    <row r="1" spans="1:13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5329</v>
      </c>
      <c r="K1" s="141" t="s">
        <v>4261</v>
      </c>
      <c r="L1" s="141" t="s">
        <v>270</v>
      </c>
      <c r="M1" s="141" t="s">
        <v>4491</v>
      </c>
    </row>
    <row r="2" spans="1:13" x14ac:dyDescent="0.25">
      <c r="A2" s="155">
        <v>46032</v>
      </c>
      <c r="B2" s="9" t="s">
        <v>5100</v>
      </c>
      <c r="C2" s="9"/>
      <c r="D2" s="9" t="s">
        <v>5101</v>
      </c>
      <c r="E2" s="9">
        <v>4000</v>
      </c>
      <c r="F2" s="9" t="s">
        <v>17</v>
      </c>
      <c r="G2" s="9"/>
      <c r="H2" s="9"/>
      <c r="I2" s="9"/>
      <c r="J2" s="9"/>
      <c r="K2" s="9"/>
      <c r="L2" s="9">
        <v>22000</v>
      </c>
      <c r="M2" s="9" t="s">
        <v>4540</v>
      </c>
    </row>
    <row r="3" spans="1:13" x14ac:dyDescent="0.25">
      <c r="A3" s="155">
        <v>46038</v>
      </c>
      <c r="B3" s="9" t="s">
        <v>5108</v>
      </c>
      <c r="C3" s="9"/>
      <c r="D3" s="9" t="s">
        <v>5109</v>
      </c>
      <c r="E3" s="9">
        <v>2000</v>
      </c>
      <c r="F3" s="9" t="s">
        <v>5144</v>
      </c>
      <c r="G3" s="9"/>
      <c r="H3" s="9"/>
      <c r="I3" s="9"/>
      <c r="J3" s="9"/>
      <c r="K3" s="9"/>
      <c r="L3" s="9">
        <v>4000</v>
      </c>
      <c r="M3" s="9"/>
    </row>
    <row r="4" spans="1:13" s="36" customFormat="1" x14ac:dyDescent="0.25">
      <c r="A4" s="48">
        <v>46039</v>
      </c>
      <c r="B4" s="36" t="s">
        <v>5111</v>
      </c>
      <c r="D4" s="36" t="s">
        <v>5383</v>
      </c>
      <c r="E4" s="36">
        <v>5000</v>
      </c>
      <c r="F4" s="36" t="s">
        <v>5143</v>
      </c>
      <c r="G4" s="36" t="s">
        <v>5209</v>
      </c>
      <c r="H4" s="36" t="s">
        <v>5240</v>
      </c>
      <c r="I4" s="36" t="s">
        <v>5361</v>
      </c>
      <c r="J4" s="36" t="s">
        <v>5356</v>
      </c>
      <c r="K4" s="36" t="s">
        <v>5405</v>
      </c>
      <c r="L4" s="36">
        <v>19700</v>
      </c>
    </row>
    <row r="5" spans="1:13" x14ac:dyDescent="0.25">
      <c r="A5" s="48">
        <v>46046</v>
      </c>
      <c r="B5" s="36" t="s">
        <v>5117</v>
      </c>
      <c r="C5" s="36"/>
      <c r="D5" s="36" t="s">
        <v>5118</v>
      </c>
      <c r="E5" s="36">
        <v>3300</v>
      </c>
      <c r="F5" s="36" t="s">
        <v>5162</v>
      </c>
      <c r="G5" s="36" t="s">
        <v>5222</v>
      </c>
      <c r="H5" s="36" t="s">
        <v>5260</v>
      </c>
      <c r="I5" s="36" t="s">
        <v>5311</v>
      </c>
      <c r="J5" s="36" t="s">
        <v>5371</v>
      </c>
      <c r="K5" s="36"/>
      <c r="L5" s="36">
        <v>17000</v>
      </c>
      <c r="M5" s="36" t="s">
        <v>4540</v>
      </c>
    </row>
    <row r="6" spans="1:13" x14ac:dyDescent="0.25">
      <c r="A6" s="48">
        <v>46046</v>
      </c>
      <c r="B6" s="36" t="s">
        <v>5119</v>
      </c>
      <c r="C6" s="36"/>
      <c r="D6" s="36" t="s">
        <v>5282</v>
      </c>
      <c r="E6" s="36">
        <v>11800</v>
      </c>
      <c r="F6" s="36" t="s">
        <v>5172</v>
      </c>
      <c r="G6" s="36" t="s">
        <v>5171</v>
      </c>
      <c r="H6" s="36" t="s">
        <v>5217</v>
      </c>
      <c r="I6" s="36" t="s">
        <v>5197</v>
      </c>
      <c r="J6" s="36" t="s">
        <v>5295</v>
      </c>
      <c r="K6" s="36" t="s">
        <v>5330</v>
      </c>
      <c r="L6" s="36">
        <v>31150</v>
      </c>
      <c r="M6" s="15" t="s">
        <v>4597</v>
      </c>
    </row>
    <row r="7" spans="1:13" s="36" customFormat="1" x14ac:dyDescent="0.25">
      <c r="A7" s="48">
        <v>46051</v>
      </c>
      <c r="B7" s="36" t="s">
        <v>5149</v>
      </c>
      <c r="C7" s="203"/>
      <c r="D7" s="36" t="s">
        <v>5382</v>
      </c>
      <c r="E7" s="36">
        <v>3500</v>
      </c>
      <c r="F7" s="36" t="s">
        <v>3441</v>
      </c>
      <c r="G7" s="36" t="s">
        <v>5225</v>
      </c>
      <c r="H7" s="36" t="s">
        <v>5276</v>
      </c>
      <c r="I7" s="36" t="s">
        <v>5381</v>
      </c>
      <c r="L7" s="36">
        <v>17500</v>
      </c>
      <c r="M7" s="36" t="s">
        <v>4540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BB9B-EF3C-4A31-B685-084B504DA5C5}">
  <dimension ref="A1:L9"/>
  <sheetViews>
    <sheetView workbookViewId="0">
      <selection activeCell="I9" sqref="I9"/>
    </sheetView>
  </sheetViews>
  <sheetFormatPr baseColWidth="10" defaultRowHeight="15" x14ac:dyDescent="0.25"/>
  <cols>
    <col min="2" max="2" width="26.85546875" customWidth="1"/>
    <col min="4" max="4" width="28.5703125" customWidth="1"/>
    <col min="6" max="6" width="11.85546875" customWidth="1"/>
    <col min="12" max="12" width="15" customWidth="1"/>
  </cols>
  <sheetData>
    <row r="1" spans="1:12" x14ac:dyDescent="0.25">
      <c r="A1" s="141" t="s">
        <v>9</v>
      </c>
      <c r="B1" s="141" t="s">
        <v>0</v>
      </c>
      <c r="C1" s="141" t="s">
        <v>3317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4491</v>
      </c>
    </row>
    <row r="2" spans="1:12" x14ac:dyDescent="0.25">
      <c r="A2" s="155">
        <v>46088</v>
      </c>
      <c r="B2" s="9" t="s">
        <v>5193</v>
      </c>
      <c r="C2" s="9"/>
      <c r="D2" s="9" t="s">
        <v>5194</v>
      </c>
      <c r="E2" s="9">
        <v>5000</v>
      </c>
      <c r="F2" s="9"/>
      <c r="G2" s="9"/>
      <c r="H2" s="9"/>
      <c r="I2" s="9"/>
      <c r="J2" s="9"/>
      <c r="K2" s="9">
        <v>5000</v>
      </c>
      <c r="L2" s="9"/>
    </row>
    <row r="3" spans="1:12" x14ac:dyDescent="0.25">
      <c r="A3" s="155">
        <v>46094</v>
      </c>
      <c r="B3" s="9" t="s">
        <v>5203</v>
      </c>
      <c r="C3" s="9"/>
      <c r="D3" s="9" t="s">
        <v>5204</v>
      </c>
      <c r="E3" s="9">
        <v>500</v>
      </c>
      <c r="F3" s="9" t="s">
        <v>5212</v>
      </c>
      <c r="G3" s="9" t="s">
        <v>5213</v>
      </c>
      <c r="H3" s="9"/>
      <c r="I3" s="9"/>
      <c r="J3" s="9"/>
      <c r="K3" s="9">
        <v>1500</v>
      </c>
      <c r="L3" s="9"/>
    </row>
    <row r="4" spans="1:12" x14ac:dyDescent="0.25">
      <c r="A4" s="155">
        <v>46094</v>
      </c>
      <c r="B4" s="9" t="s">
        <v>5205</v>
      </c>
      <c r="C4" s="9"/>
      <c r="D4" s="9" t="s">
        <v>5206</v>
      </c>
      <c r="E4" s="9">
        <v>10100</v>
      </c>
      <c r="F4" s="9"/>
      <c r="G4" s="9"/>
      <c r="H4" s="9"/>
      <c r="I4" s="9"/>
      <c r="J4" s="9"/>
      <c r="K4" s="9">
        <v>10100</v>
      </c>
      <c r="L4" s="9"/>
    </row>
    <row r="5" spans="1:12" x14ac:dyDescent="0.25">
      <c r="A5" s="155">
        <v>46099</v>
      </c>
      <c r="B5" s="9" t="s">
        <v>5211</v>
      </c>
      <c r="C5" s="9"/>
      <c r="D5" s="9" t="s">
        <v>4875</v>
      </c>
      <c r="E5" s="9">
        <v>2100</v>
      </c>
      <c r="F5" s="9" t="s">
        <v>5284</v>
      </c>
      <c r="G5" s="9"/>
      <c r="H5" s="9"/>
      <c r="I5" s="9"/>
      <c r="J5" s="9"/>
      <c r="K5" s="9">
        <v>10800</v>
      </c>
      <c r="L5" s="9"/>
    </row>
    <row r="6" spans="1:12" s="36" customFormat="1" x14ac:dyDescent="0.25">
      <c r="A6" s="48">
        <v>46102</v>
      </c>
      <c r="B6" s="36" t="s">
        <v>5221</v>
      </c>
      <c r="D6" s="36" t="s">
        <v>4506</v>
      </c>
      <c r="E6" s="36">
        <v>3000</v>
      </c>
      <c r="F6" s="36" t="s">
        <v>5263</v>
      </c>
      <c r="G6" s="36" t="s">
        <v>5337</v>
      </c>
      <c r="H6" s="36" t="s">
        <v>5375</v>
      </c>
      <c r="I6" s="36" t="s">
        <v>5446</v>
      </c>
      <c r="K6" s="36">
        <v>15000</v>
      </c>
    </row>
    <row r="7" spans="1:12" s="36" customFormat="1" x14ac:dyDescent="0.25">
      <c r="A7" s="48">
        <v>46108</v>
      </c>
      <c r="B7" s="36" t="s">
        <v>5274</v>
      </c>
      <c r="D7" s="36" t="s">
        <v>5226</v>
      </c>
      <c r="E7" s="36">
        <v>4960</v>
      </c>
      <c r="F7" s="36" t="s">
        <v>5275</v>
      </c>
      <c r="G7" s="36" t="s">
        <v>5359</v>
      </c>
      <c r="K7" s="36">
        <v>12400</v>
      </c>
    </row>
    <row r="8" spans="1:12" s="36" customFormat="1" x14ac:dyDescent="0.25">
      <c r="A8" s="48">
        <v>46109</v>
      </c>
      <c r="B8" s="36" t="s">
        <v>5227</v>
      </c>
      <c r="D8" s="36" t="s">
        <v>5450</v>
      </c>
      <c r="E8" s="36">
        <v>3200</v>
      </c>
      <c r="F8" s="36" t="s">
        <v>5278</v>
      </c>
      <c r="G8" s="36" t="s">
        <v>5352</v>
      </c>
      <c r="H8" s="36" t="s">
        <v>5451</v>
      </c>
      <c r="I8" s="36" t="s">
        <v>5492</v>
      </c>
      <c r="J8" s="36" t="s">
        <v>5452</v>
      </c>
      <c r="K8" s="36">
        <v>17200</v>
      </c>
    </row>
    <row r="9" spans="1:12" s="36" customFormat="1" x14ac:dyDescent="0.25">
      <c r="A9" s="48">
        <v>46109</v>
      </c>
      <c r="B9" s="36" t="s">
        <v>5228</v>
      </c>
      <c r="D9" s="36" t="s">
        <v>5229</v>
      </c>
      <c r="E9" s="36">
        <v>4600</v>
      </c>
      <c r="F9" s="36" t="s">
        <v>5273</v>
      </c>
      <c r="G9" s="36" t="s">
        <v>5328</v>
      </c>
      <c r="H9" s="36" t="s">
        <v>5399</v>
      </c>
      <c r="I9" s="36" t="s">
        <v>5445</v>
      </c>
      <c r="K9" s="36">
        <v>21200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63B7-BFD7-4A24-A72B-227210B9B012}">
  <dimension ref="A1:L25"/>
  <sheetViews>
    <sheetView topLeftCell="B2" workbookViewId="0">
      <selection activeCell="K14" sqref="K14"/>
    </sheetView>
  </sheetViews>
  <sheetFormatPr baseColWidth="10" defaultRowHeight="15" x14ac:dyDescent="0.25"/>
  <cols>
    <col min="2" max="2" width="30.140625" customWidth="1"/>
    <col min="4" max="4" width="51.5703125" customWidth="1"/>
    <col min="12" max="12" width="25" customWidth="1"/>
  </cols>
  <sheetData>
    <row r="1" spans="1:12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4491</v>
      </c>
    </row>
    <row r="2" spans="1:12" x14ac:dyDescent="0.25">
      <c r="A2" s="48">
        <v>46057</v>
      </c>
      <c r="B2" s="36" t="s">
        <v>5126</v>
      </c>
      <c r="C2" s="203"/>
      <c r="D2" s="36" t="s">
        <v>5187</v>
      </c>
      <c r="E2" s="36">
        <v>3000</v>
      </c>
      <c r="F2" s="36" t="s">
        <v>5186</v>
      </c>
      <c r="G2" s="36" t="s">
        <v>5280</v>
      </c>
      <c r="H2" s="36"/>
      <c r="I2" s="36"/>
      <c r="J2" s="36"/>
      <c r="K2" s="36">
        <v>7800</v>
      </c>
      <c r="L2" s="36"/>
    </row>
    <row r="3" spans="1:12" hidden="1" x14ac:dyDescent="0.25">
      <c r="A3" s="17">
        <v>46060</v>
      </c>
      <c r="B3" t="s">
        <v>5129</v>
      </c>
      <c r="D3" t="s">
        <v>5130</v>
      </c>
      <c r="E3">
        <v>2000</v>
      </c>
      <c r="F3" t="s">
        <v>5165</v>
      </c>
      <c r="G3" t="s">
        <v>1612</v>
      </c>
      <c r="H3" t="s">
        <v>5262</v>
      </c>
      <c r="K3">
        <v>10000</v>
      </c>
    </row>
    <row r="4" spans="1:12" hidden="1" x14ac:dyDescent="0.25">
      <c r="A4" s="17">
        <v>46064</v>
      </c>
      <c r="B4" t="s">
        <v>5134</v>
      </c>
      <c r="C4" s="203"/>
      <c r="D4" t="s">
        <v>5135</v>
      </c>
      <c r="E4">
        <v>7650</v>
      </c>
      <c r="F4" t="s">
        <v>5202</v>
      </c>
      <c r="G4" t="s">
        <v>5238</v>
      </c>
      <c r="K4">
        <v>38250</v>
      </c>
    </row>
    <row r="5" spans="1:12" hidden="1" x14ac:dyDescent="0.25">
      <c r="A5" s="17">
        <v>46064</v>
      </c>
      <c r="B5" t="s">
        <v>5136</v>
      </c>
      <c r="C5" s="203"/>
      <c r="D5" t="s">
        <v>5137</v>
      </c>
      <c r="E5">
        <v>2000</v>
      </c>
      <c r="F5" t="s">
        <v>5214</v>
      </c>
      <c r="G5" t="s">
        <v>5247</v>
      </c>
      <c r="K5">
        <v>21000</v>
      </c>
      <c r="L5" t="s">
        <v>4540</v>
      </c>
    </row>
    <row r="6" spans="1:12" hidden="1" x14ac:dyDescent="0.25">
      <c r="A6" s="17">
        <v>46067</v>
      </c>
      <c r="B6" t="s">
        <v>5138</v>
      </c>
      <c r="C6" s="203"/>
      <c r="D6" t="s">
        <v>5279</v>
      </c>
      <c r="E6">
        <v>3000</v>
      </c>
      <c r="F6" t="s">
        <v>5207</v>
      </c>
      <c r="G6" t="s">
        <v>5244</v>
      </c>
      <c r="K6">
        <v>16200</v>
      </c>
    </row>
    <row r="7" spans="1:12" hidden="1" x14ac:dyDescent="0.25">
      <c r="A7" s="17">
        <v>46074</v>
      </c>
      <c r="B7" t="s">
        <v>5160</v>
      </c>
      <c r="D7" t="s">
        <v>5161</v>
      </c>
      <c r="E7">
        <v>7300</v>
      </c>
      <c r="F7" t="s">
        <v>5218</v>
      </c>
      <c r="G7" t="s">
        <v>5271</v>
      </c>
      <c r="K7">
        <v>36500</v>
      </c>
      <c r="L7" t="s">
        <v>4646</v>
      </c>
    </row>
    <row r="8" spans="1:12" hidden="1" x14ac:dyDescent="0.25">
      <c r="A8" s="17">
        <v>46074</v>
      </c>
      <c r="B8" t="s">
        <v>5163</v>
      </c>
      <c r="D8" t="s">
        <v>5164</v>
      </c>
      <c r="E8">
        <v>3500</v>
      </c>
      <c r="F8" t="s">
        <v>5216</v>
      </c>
      <c r="G8" t="s">
        <v>5255</v>
      </c>
      <c r="K8">
        <v>17500</v>
      </c>
      <c r="L8" t="s">
        <v>4540</v>
      </c>
    </row>
    <row r="9" spans="1:12" hidden="1" x14ac:dyDescent="0.25">
      <c r="A9" s="17">
        <v>46074</v>
      </c>
      <c r="B9" t="s">
        <v>5166</v>
      </c>
      <c r="C9" s="203"/>
      <c r="D9" t="s">
        <v>5167</v>
      </c>
      <c r="E9">
        <v>2800</v>
      </c>
      <c r="F9" t="s">
        <v>5183</v>
      </c>
      <c r="G9" t="s">
        <v>5230</v>
      </c>
      <c r="K9">
        <v>28700</v>
      </c>
      <c r="L9" t="s">
        <v>4597</v>
      </c>
    </row>
    <row r="10" spans="1:12" hidden="1" x14ac:dyDescent="0.25">
      <c r="A10" s="17">
        <v>46076</v>
      </c>
      <c r="B10" t="s">
        <v>5168</v>
      </c>
      <c r="C10" s="203"/>
      <c r="D10" t="s">
        <v>5256</v>
      </c>
      <c r="E10">
        <v>2800</v>
      </c>
      <c r="F10" t="s">
        <v>5224</v>
      </c>
      <c r="G10" t="s">
        <v>5257</v>
      </c>
      <c r="K10">
        <v>16100</v>
      </c>
    </row>
    <row r="11" spans="1:12" hidden="1" x14ac:dyDescent="0.25">
      <c r="A11" s="19">
        <v>46077</v>
      </c>
      <c r="B11" s="15" t="s">
        <v>5173</v>
      </c>
      <c r="C11" s="203"/>
      <c r="D11" s="15" t="s">
        <v>5174</v>
      </c>
      <c r="E11" s="15">
        <v>4000</v>
      </c>
      <c r="F11" s="15" t="s">
        <v>5223</v>
      </c>
      <c r="G11" s="15" t="s">
        <v>5261</v>
      </c>
      <c r="H11" s="15"/>
      <c r="I11" s="15"/>
      <c r="J11" s="15"/>
      <c r="K11" s="15">
        <v>22000</v>
      </c>
      <c r="L11" s="15" t="s">
        <v>4540</v>
      </c>
    </row>
    <row r="12" spans="1:12" hidden="1" x14ac:dyDescent="0.25">
      <c r="A12" s="17">
        <v>46081</v>
      </c>
      <c r="B12" t="s">
        <v>5179</v>
      </c>
      <c r="D12" t="s">
        <v>5180</v>
      </c>
      <c r="E12">
        <v>3200</v>
      </c>
      <c r="F12" s="15" t="s">
        <v>5239</v>
      </c>
      <c r="G12" t="s">
        <v>5278</v>
      </c>
      <c r="K12">
        <v>16000</v>
      </c>
      <c r="L12" t="s">
        <v>4540</v>
      </c>
    </row>
    <row r="13" spans="1:12" hidden="1" x14ac:dyDescent="0.25">
      <c r="A13" s="17">
        <v>46081</v>
      </c>
      <c r="B13" t="s">
        <v>5181</v>
      </c>
      <c r="C13" s="203" t="s">
        <v>1891</v>
      </c>
      <c r="D13" t="s">
        <v>5182</v>
      </c>
      <c r="E13">
        <v>5000</v>
      </c>
      <c r="F13" s="202" t="s">
        <v>5283</v>
      </c>
      <c r="G13" t="s">
        <v>5243</v>
      </c>
      <c r="K13">
        <v>25000</v>
      </c>
      <c r="L13" t="s">
        <v>4646</v>
      </c>
    </row>
    <row r="14" spans="1:12" x14ac:dyDescent="0.25">
      <c r="A14" s="17">
        <v>46060</v>
      </c>
      <c r="B14" t="s">
        <v>5129</v>
      </c>
      <c r="D14" t="s">
        <v>4141</v>
      </c>
      <c r="E14">
        <v>2000</v>
      </c>
      <c r="F14" t="s">
        <v>5165</v>
      </c>
      <c r="G14" t="s">
        <v>5312</v>
      </c>
      <c r="H14" t="s">
        <v>5358</v>
      </c>
      <c r="J14" t="s">
        <v>5496</v>
      </c>
      <c r="K14" t="s">
        <v>5470</v>
      </c>
      <c r="L14">
        <v>24400</v>
      </c>
    </row>
    <row r="15" spans="1:12" s="15" customFormat="1" x14ac:dyDescent="0.25">
      <c r="A15" s="19">
        <v>46064</v>
      </c>
      <c r="B15" s="15" t="s">
        <v>5299</v>
      </c>
      <c r="D15" s="15" t="s">
        <v>5300</v>
      </c>
      <c r="E15" s="15">
        <v>6650</v>
      </c>
      <c r="F15" s="15" t="s">
        <v>5301</v>
      </c>
      <c r="G15" s="15" t="s">
        <v>5313</v>
      </c>
      <c r="H15" s="15" t="s">
        <v>5314</v>
      </c>
      <c r="J15" s="15" t="s">
        <v>5360</v>
      </c>
      <c r="K15" s="15" t="s">
        <v>5414</v>
      </c>
      <c r="L15" s="15">
        <v>38250</v>
      </c>
    </row>
    <row r="16" spans="1:12" s="225" customFormat="1" x14ac:dyDescent="0.25">
      <c r="A16" s="224">
        <v>46064</v>
      </c>
      <c r="B16" s="225" t="s">
        <v>5136</v>
      </c>
      <c r="D16" s="225" t="s">
        <v>5302</v>
      </c>
      <c r="E16" s="225">
        <v>2000</v>
      </c>
      <c r="F16" s="225" t="s">
        <v>5303</v>
      </c>
      <c r="G16" s="225" t="s">
        <v>5315</v>
      </c>
      <c r="J16" s="225" t="s">
        <v>5379</v>
      </c>
      <c r="K16" s="225" t="s">
        <v>5472</v>
      </c>
      <c r="L16" s="225">
        <v>21000</v>
      </c>
    </row>
    <row r="17" spans="1:12" s="36" customFormat="1" x14ac:dyDescent="0.25">
      <c r="A17" s="48">
        <v>46067</v>
      </c>
      <c r="B17" s="36" t="s">
        <v>5138</v>
      </c>
      <c r="D17" s="36" t="s">
        <v>5279</v>
      </c>
      <c r="E17" s="36">
        <v>3000</v>
      </c>
      <c r="F17" s="36" t="s">
        <v>5316</v>
      </c>
      <c r="G17" s="36" t="s">
        <v>5317</v>
      </c>
      <c r="H17" s="36" t="s">
        <v>5376</v>
      </c>
      <c r="K17" s="36">
        <v>3830</v>
      </c>
    </row>
    <row r="18" spans="1:12" s="36" customFormat="1" x14ac:dyDescent="0.25">
      <c r="A18" s="48">
        <v>46074</v>
      </c>
      <c r="B18" s="36" t="s">
        <v>5160</v>
      </c>
      <c r="D18" s="36" t="s">
        <v>5410</v>
      </c>
      <c r="E18" s="36">
        <v>7300</v>
      </c>
      <c r="F18" s="36" t="s">
        <v>5318</v>
      </c>
      <c r="G18" s="36" t="s">
        <v>5319</v>
      </c>
      <c r="H18" s="36" t="s">
        <v>5401</v>
      </c>
      <c r="K18" s="36">
        <v>36900</v>
      </c>
      <c r="L18" s="36" t="s">
        <v>4646</v>
      </c>
    </row>
    <row r="19" spans="1:12" s="36" customFormat="1" x14ac:dyDescent="0.25">
      <c r="A19" s="48">
        <v>46074</v>
      </c>
      <c r="B19" s="36" t="s">
        <v>5163</v>
      </c>
      <c r="D19" s="36" t="s">
        <v>5092</v>
      </c>
      <c r="E19" s="36">
        <v>3500</v>
      </c>
      <c r="F19" s="36" t="s">
        <v>5320</v>
      </c>
      <c r="G19" s="36" t="s">
        <v>5321</v>
      </c>
      <c r="I19" s="36" t="s">
        <v>5378</v>
      </c>
      <c r="J19" s="36" t="s">
        <v>5421</v>
      </c>
      <c r="K19" s="36">
        <v>17500</v>
      </c>
    </row>
    <row r="20" spans="1:12" s="36" customFormat="1" x14ac:dyDescent="0.25">
      <c r="A20" s="48">
        <v>46074</v>
      </c>
      <c r="B20" s="36" t="s">
        <v>5166</v>
      </c>
      <c r="D20" s="36" t="s">
        <v>5304</v>
      </c>
      <c r="E20" s="36">
        <v>2800</v>
      </c>
      <c r="F20" s="36" t="s">
        <v>5444</v>
      </c>
      <c r="G20" s="36" t="s">
        <v>5443</v>
      </c>
      <c r="H20" s="36" t="s">
        <v>5442</v>
      </c>
      <c r="I20" s="36" t="s">
        <v>5441</v>
      </c>
      <c r="J20" s="36" t="s">
        <v>5457</v>
      </c>
      <c r="K20" s="36">
        <v>28700</v>
      </c>
    </row>
    <row r="21" spans="1:12" x14ac:dyDescent="0.25">
      <c r="A21" s="48">
        <v>46076</v>
      </c>
      <c r="B21" s="36" t="s">
        <v>5168</v>
      </c>
      <c r="C21" s="36"/>
      <c r="D21" s="36" t="s">
        <v>5256</v>
      </c>
      <c r="E21" s="36">
        <v>2800</v>
      </c>
      <c r="F21" s="36" t="s">
        <v>5322</v>
      </c>
      <c r="G21" s="36" t="s">
        <v>5323</v>
      </c>
      <c r="H21" s="36" t="s">
        <v>5324</v>
      </c>
      <c r="I21" s="36"/>
      <c r="J21" s="36"/>
      <c r="K21" s="36">
        <v>16100</v>
      </c>
      <c r="L21" s="36"/>
    </row>
    <row r="22" spans="1:12" s="36" customFormat="1" x14ac:dyDescent="0.25">
      <c r="A22" s="48">
        <v>46077</v>
      </c>
      <c r="B22" s="36" t="s">
        <v>5305</v>
      </c>
      <c r="D22" s="36" t="s">
        <v>5174</v>
      </c>
      <c r="E22" s="36">
        <v>4000</v>
      </c>
      <c r="F22" s="36" t="s">
        <v>5325</v>
      </c>
      <c r="I22" s="36" t="s">
        <v>5392</v>
      </c>
      <c r="K22" s="36">
        <v>23400</v>
      </c>
      <c r="L22" s="36" t="s">
        <v>4540</v>
      </c>
    </row>
    <row r="23" spans="1:12" s="36" customFormat="1" x14ac:dyDescent="0.25">
      <c r="A23" s="48">
        <v>46081</v>
      </c>
      <c r="B23" s="36" t="s">
        <v>5179</v>
      </c>
      <c r="D23" s="36" t="s">
        <v>5180</v>
      </c>
      <c r="E23" s="36">
        <v>3200</v>
      </c>
      <c r="F23" s="36" t="s">
        <v>5326</v>
      </c>
      <c r="H23" s="36" t="s">
        <v>5338</v>
      </c>
      <c r="I23" s="36" t="s">
        <v>5393</v>
      </c>
      <c r="K23" s="36">
        <v>16000</v>
      </c>
      <c r="L23" s="36" t="s">
        <v>4540</v>
      </c>
    </row>
    <row r="24" spans="1:12" x14ac:dyDescent="0.25">
      <c r="A24" s="48">
        <v>46081</v>
      </c>
      <c r="B24" s="36" t="s">
        <v>5308</v>
      </c>
      <c r="C24" s="36"/>
      <c r="D24" s="36" t="s">
        <v>5182</v>
      </c>
      <c r="E24" s="36">
        <v>5000</v>
      </c>
      <c r="F24" s="36" t="s">
        <v>5309</v>
      </c>
      <c r="G24" s="36" t="s">
        <v>5243</v>
      </c>
      <c r="H24" s="36" t="s">
        <v>5327</v>
      </c>
      <c r="I24" s="36"/>
      <c r="J24" s="36"/>
      <c r="K24" s="36">
        <v>25000</v>
      </c>
      <c r="L24" s="36" t="s">
        <v>4646</v>
      </c>
    </row>
    <row r="25" spans="1:12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C8B3-8A79-4407-9B02-53B9054C1617}">
  <dimension ref="A1:L10"/>
  <sheetViews>
    <sheetView tabSelected="1" workbookViewId="0">
      <selection activeCell="G3" sqref="G3"/>
    </sheetView>
  </sheetViews>
  <sheetFormatPr baseColWidth="10" defaultRowHeight="15" x14ac:dyDescent="0.25"/>
  <cols>
    <col min="2" max="2" width="33" customWidth="1"/>
    <col min="4" max="4" width="24.7109375" customWidth="1"/>
    <col min="12" max="12" width="25.140625" customWidth="1"/>
  </cols>
  <sheetData>
    <row r="1" spans="1:12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4971</v>
      </c>
    </row>
    <row r="2" spans="1:12" x14ac:dyDescent="0.25">
      <c r="A2" s="17">
        <v>46148</v>
      </c>
      <c r="B2" t="s">
        <v>5281</v>
      </c>
      <c r="C2" s="207"/>
      <c r="D2" t="s">
        <v>5288</v>
      </c>
      <c r="E2">
        <v>2200</v>
      </c>
      <c r="F2" t="s">
        <v>5353</v>
      </c>
      <c r="G2" t="s">
        <v>5402</v>
      </c>
      <c r="H2" t="s">
        <v>5458</v>
      </c>
      <c r="K2">
        <v>11000</v>
      </c>
    </row>
    <row r="3" spans="1:12" x14ac:dyDescent="0.25">
      <c r="A3" s="17">
        <v>46149</v>
      </c>
      <c r="B3" t="s">
        <v>5285</v>
      </c>
      <c r="D3" t="s">
        <v>5286</v>
      </c>
      <c r="E3">
        <v>7300</v>
      </c>
      <c r="F3" t="s">
        <v>5418</v>
      </c>
      <c r="K3">
        <v>36500</v>
      </c>
      <c r="L3" t="s">
        <v>5287</v>
      </c>
    </row>
    <row r="4" spans="1:12" s="212" customFormat="1" x14ac:dyDescent="0.25">
      <c r="A4" s="218">
        <v>46158</v>
      </c>
      <c r="B4" s="212" t="s">
        <v>3856</v>
      </c>
      <c r="D4" s="212" t="s">
        <v>5351</v>
      </c>
      <c r="E4" s="212">
        <v>500</v>
      </c>
      <c r="F4" s="212" t="s">
        <v>5350</v>
      </c>
      <c r="H4" s="212" t="s">
        <v>5403</v>
      </c>
      <c r="K4" s="212">
        <v>5000</v>
      </c>
    </row>
    <row r="5" spans="1:12" x14ac:dyDescent="0.25">
      <c r="A5" s="17">
        <v>46165</v>
      </c>
      <c r="B5" t="s">
        <v>5310</v>
      </c>
      <c r="D5" t="s">
        <v>5388</v>
      </c>
      <c r="E5">
        <v>7200</v>
      </c>
      <c r="F5" t="s">
        <v>5389</v>
      </c>
      <c r="G5" t="s">
        <v>5420</v>
      </c>
      <c r="H5" t="s">
        <v>5464</v>
      </c>
      <c r="K5">
        <v>39000</v>
      </c>
      <c r="L5" t="s">
        <v>5287</v>
      </c>
    </row>
    <row r="6" spans="1:12" s="36" customFormat="1" x14ac:dyDescent="0.25">
      <c r="A6" s="48">
        <v>46172</v>
      </c>
      <c r="B6" s="36" t="s">
        <v>5340</v>
      </c>
      <c r="D6" s="36" t="s">
        <v>5341</v>
      </c>
      <c r="E6" s="36">
        <v>12000</v>
      </c>
      <c r="F6" s="36" t="s">
        <v>5411</v>
      </c>
      <c r="K6" s="36">
        <v>17500</v>
      </c>
      <c r="L6" s="36" t="s">
        <v>5268</v>
      </c>
    </row>
    <row r="7" spans="1:12" x14ac:dyDescent="0.25">
      <c r="A7" s="16">
        <v>46172</v>
      </c>
      <c r="B7" t="s">
        <v>5342</v>
      </c>
      <c r="D7" t="s">
        <v>5343</v>
      </c>
      <c r="E7">
        <v>5800</v>
      </c>
      <c r="F7" t="s">
        <v>5406</v>
      </c>
      <c r="G7" t="s">
        <v>5453</v>
      </c>
      <c r="K7">
        <v>29000</v>
      </c>
      <c r="L7" t="s">
        <v>5344</v>
      </c>
    </row>
    <row r="8" spans="1:12" x14ac:dyDescent="0.25">
      <c r="A8" s="17">
        <v>46172</v>
      </c>
      <c r="B8" t="s">
        <v>5345</v>
      </c>
      <c r="D8" t="s">
        <v>941</v>
      </c>
      <c r="E8">
        <v>3500</v>
      </c>
      <c r="F8" t="s">
        <v>5395</v>
      </c>
      <c r="G8" t="s">
        <v>5474</v>
      </c>
      <c r="H8" t="s">
        <v>5475</v>
      </c>
      <c r="K8">
        <v>20000</v>
      </c>
      <c r="L8" t="s">
        <v>5346</v>
      </c>
    </row>
    <row r="9" spans="1:12" x14ac:dyDescent="0.25">
      <c r="A9" s="17">
        <v>46172</v>
      </c>
      <c r="B9" t="s">
        <v>5349</v>
      </c>
      <c r="C9" s="208"/>
      <c r="D9" t="s">
        <v>5347</v>
      </c>
      <c r="E9">
        <v>3000</v>
      </c>
      <c r="F9" t="s">
        <v>5396</v>
      </c>
      <c r="G9" t="s">
        <v>5449</v>
      </c>
      <c r="H9" t="s">
        <v>5476</v>
      </c>
      <c r="K9">
        <v>18500</v>
      </c>
      <c r="L9" t="s">
        <v>5348</v>
      </c>
    </row>
    <row r="10" spans="1:12" x14ac:dyDescent="0.25">
      <c r="D10" t="s">
        <v>5394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DA45-1DD0-4756-B4AC-41D4DE1E7D78}">
  <dimension ref="A1:L6"/>
  <sheetViews>
    <sheetView workbookViewId="0">
      <selection activeCell="K3" sqref="K3"/>
    </sheetView>
  </sheetViews>
  <sheetFormatPr baseColWidth="10" defaultRowHeight="15" x14ac:dyDescent="0.25"/>
  <cols>
    <col min="2" max="2" width="22.5703125" customWidth="1"/>
    <col min="4" max="4" width="32.140625" customWidth="1"/>
    <col min="12" max="12" width="29.140625" customWidth="1"/>
  </cols>
  <sheetData>
    <row r="1" spans="1:12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4491</v>
      </c>
    </row>
    <row r="2" spans="1:12" s="36" customFormat="1" x14ac:dyDescent="0.25">
      <c r="A2" s="48">
        <v>46118</v>
      </c>
      <c r="B2" s="36" t="s">
        <v>5237</v>
      </c>
      <c r="D2" s="36" t="s">
        <v>5355</v>
      </c>
      <c r="E2" s="36">
        <v>5000</v>
      </c>
      <c r="F2" s="36" t="s">
        <v>5374</v>
      </c>
      <c r="G2" s="36" t="s">
        <v>5422</v>
      </c>
      <c r="K2" s="36">
        <v>25800</v>
      </c>
    </row>
    <row r="3" spans="1:12" x14ac:dyDescent="0.25">
      <c r="A3" s="17">
        <v>46128</v>
      </c>
      <c r="B3" t="s">
        <v>5248</v>
      </c>
      <c r="C3" s="203"/>
      <c r="D3" t="s">
        <v>5289</v>
      </c>
      <c r="E3">
        <v>5100</v>
      </c>
      <c r="F3" t="s">
        <v>5391</v>
      </c>
      <c r="G3" t="s">
        <v>5447</v>
      </c>
      <c r="K3">
        <v>25500</v>
      </c>
    </row>
    <row r="4" spans="1:12" s="36" customFormat="1" x14ac:dyDescent="0.25">
      <c r="A4" s="48">
        <v>46130</v>
      </c>
      <c r="B4" s="36" t="s">
        <v>5254</v>
      </c>
      <c r="D4" s="36" t="s">
        <v>1235</v>
      </c>
      <c r="E4" s="36">
        <v>4000</v>
      </c>
      <c r="F4" s="36" t="s">
        <v>5332</v>
      </c>
      <c r="G4" s="36" t="s">
        <v>5384</v>
      </c>
      <c r="H4" s="36" t="s">
        <v>5423</v>
      </c>
      <c r="I4" s="36" t="s">
        <v>5465</v>
      </c>
      <c r="K4" s="36">
        <v>21400</v>
      </c>
    </row>
    <row r="5" spans="1:12" s="36" customFormat="1" x14ac:dyDescent="0.25">
      <c r="A5" s="48">
        <v>46137</v>
      </c>
      <c r="B5" s="36" t="s">
        <v>5265</v>
      </c>
      <c r="D5" s="36" t="s">
        <v>5266</v>
      </c>
      <c r="E5" s="36">
        <v>5000</v>
      </c>
      <c r="F5" s="36" t="s">
        <v>5272</v>
      </c>
      <c r="G5" s="36" t="s">
        <v>5398</v>
      </c>
      <c r="K5" s="36">
        <v>15000</v>
      </c>
    </row>
    <row r="6" spans="1:12" x14ac:dyDescent="0.25">
      <c r="A6" s="48">
        <v>46137</v>
      </c>
      <c r="B6" s="36" t="s">
        <v>5267</v>
      </c>
      <c r="C6" s="36"/>
      <c r="D6" s="36" t="s">
        <v>5266</v>
      </c>
      <c r="E6" s="36">
        <v>6000</v>
      </c>
      <c r="F6" s="36" t="s">
        <v>5336</v>
      </c>
      <c r="G6" s="36" t="s">
        <v>5390</v>
      </c>
      <c r="H6" s="36"/>
      <c r="I6" s="36"/>
      <c r="J6" s="36"/>
      <c r="K6" s="36">
        <v>15250</v>
      </c>
      <c r="L6" s="36" t="s">
        <v>5268</v>
      </c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EE27-A8AB-4505-82C7-38EB568FC281}">
  <dimension ref="A1:R7"/>
  <sheetViews>
    <sheetView topLeftCell="D1" zoomScaleNormal="130" workbookViewId="0">
      <selection activeCell="R4" sqref="R4"/>
    </sheetView>
  </sheetViews>
  <sheetFormatPr baseColWidth="10" defaultRowHeight="15" x14ac:dyDescent="0.25"/>
  <sheetData>
    <row r="1" spans="1:18" x14ac:dyDescent="0.25">
      <c r="A1" s="213" t="s">
        <v>5364</v>
      </c>
      <c r="B1" s="211" t="s">
        <v>0</v>
      </c>
      <c r="C1" s="211"/>
      <c r="D1" s="211" t="s">
        <v>5363</v>
      </c>
      <c r="E1" s="211"/>
      <c r="F1" s="211" t="s">
        <v>4010</v>
      </c>
      <c r="G1" s="211"/>
      <c r="H1" s="211"/>
      <c r="I1" s="211"/>
      <c r="J1" s="214" t="s">
        <v>3905</v>
      </c>
      <c r="K1" s="214" t="s">
        <v>3906</v>
      </c>
      <c r="L1" s="214" t="s">
        <v>3907</v>
      </c>
      <c r="M1" s="214" t="s">
        <v>3908</v>
      </c>
      <c r="N1" s="214" t="s">
        <v>3909</v>
      </c>
      <c r="O1" s="214" t="s">
        <v>4261</v>
      </c>
      <c r="P1" s="214" t="s">
        <v>4600</v>
      </c>
      <c r="Q1" s="214" t="s">
        <v>270</v>
      </c>
      <c r="R1" s="214" t="s">
        <v>4971</v>
      </c>
    </row>
    <row r="2" spans="1:18" ht="0" hidden="1" x14ac:dyDescent="0"/>
    <row r="3" spans="1:18" s="212" customFormat="1" x14ac:dyDescent="0.25">
      <c r="A3" s="215">
        <v>46179</v>
      </c>
      <c r="B3" s="216" t="s">
        <v>5362</v>
      </c>
      <c r="C3" s="216"/>
      <c r="D3" s="217"/>
      <c r="E3" s="216" t="s">
        <v>5365</v>
      </c>
      <c r="F3" s="216"/>
      <c r="G3" s="216"/>
      <c r="H3" s="216"/>
      <c r="I3" s="216"/>
      <c r="J3" s="216">
        <v>5640</v>
      </c>
      <c r="K3" s="216" t="s">
        <v>5459</v>
      </c>
      <c r="L3" s="216" t="s">
        <v>5495</v>
      </c>
      <c r="M3" s="216"/>
      <c r="N3" s="216"/>
      <c r="O3" s="216"/>
      <c r="P3" s="216"/>
      <c r="Q3" s="212">
        <v>29100</v>
      </c>
      <c r="R3" s="212" t="s">
        <v>5366</v>
      </c>
    </row>
    <row r="4" spans="1:18" s="15" customFormat="1" x14ac:dyDescent="0.25">
      <c r="A4" s="19">
        <v>46179</v>
      </c>
      <c r="B4" s="15" t="s">
        <v>5367</v>
      </c>
      <c r="D4"/>
      <c r="E4" s="15" t="s">
        <v>5368</v>
      </c>
      <c r="J4" s="15">
        <v>3600</v>
      </c>
      <c r="K4" s="15" t="s">
        <v>5369</v>
      </c>
      <c r="L4" s="15" t="s">
        <v>5404</v>
      </c>
      <c r="M4" s="15" t="s">
        <v>5477</v>
      </c>
      <c r="Q4" s="15">
        <v>17100</v>
      </c>
      <c r="R4" s="15" t="s">
        <v>5370</v>
      </c>
    </row>
    <row r="5" spans="1:18" s="219" customFormat="1" x14ac:dyDescent="0.25">
      <c r="A5" s="218">
        <v>46179</v>
      </c>
      <c r="B5" s="212" t="s">
        <v>5372</v>
      </c>
      <c r="D5" s="221"/>
      <c r="E5" s="212" t="s">
        <v>5373</v>
      </c>
      <c r="F5" s="219" t="s">
        <v>3247</v>
      </c>
      <c r="H5" s="219" t="s">
        <v>5469</v>
      </c>
      <c r="J5" s="212" t="s">
        <v>5493</v>
      </c>
      <c r="K5" s="212" t="s">
        <v>5380</v>
      </c>
      <c r="L5" s="212" t="s">
        <v>5409</v>
      </c>
      <c r="M5" s="212" t="s">
        <v>5468</v>
      </c>
      <c r="Q5" s="212"/>
      <c r="R5" s="212" t="s">
        <v>5366</v>
      </c>
    </row>
    <row r="6" spans="1:18" x14ac:dyDescent="0.25">
      <c r="A6" s="17">
        <v>46186</v>
      </c>
      <c r="B6" t="s">
        <v>5377</v>
      </c>
      <c r="E6" t="s">
        <v>4506</v>
      </c>
      <c r="J6">
        <v>3000</v>
      </c>
      <c r="K6" t="s">
        <v>5412</v>
      </c>
      <c r="L6" t="s">
        <v>5467</v>
      </c>
      <c r="Q6">
        <v>15000</v>
      </c>
      <c r="R6" t="s">
        <v>5370</v>
      </c>
    </row>
    <row r="7" spans="1:18" s="219" customFormat="1" x14ac:dyDescent="0.25">
      <c r="A7" s="218">
        <v>46193</v>
      </c>
      <c r="B7" s="212" t="s">
        <v>5386</v>
      </c>
      <c r="E7" s="212" t="s">
        <v>5387</v>
      </c>
      <c r="J7" s="212">
        <v>1780</v>
      </c>
      <c r="K7" s="212" t="s">
        <v>5419</v>
      </c>
      <c r="L7" s="212" t="s">
        <v>5473</v>
      </c>
      <c r="Q7" s="212">
        <v>8150</v>
      </c>
      <c r="R7" s="212"/>
    </row>
  </sheetData>
  <autoFilter ref="J1:R1" xr:uid="{FDD4EE27-A8AB-4505-82C7-38EB568FC281}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295E-F939-4176-A112-F93BB086F91A}">
  <dimension ref="A1:R6"/>
  <sheetViews>
    <sheetView zoomScale="70" zoomScaleNormal="70" workbookViewId="0">
      <selection activeCell="E3" sqref="E3"/>
    </sheetView>
  </sheetViews>
  <sheetFormatPr baseColWidth="10" defaultRowHeight="15" x14ac:dyDescent="0.25"/>
  <cols>
    <col min="5" max="5" width="13.42578125" customWidth="1"/>
  </cols>
  <sheetData>
    <row r="1" spans="1:18" s="36" customFormat="1" x14ac:dyDescent="0.25">
      <c r="A1" s="223">
        <v>46211</v>
      </c>
      <c r="B1" s="132" t="s">
        <v>5407</v>
      </c>
      <c r="C1" s="132"/>
      <c r="D1" s="132" t="s">
        <v>5408</v>
      </c>
      <c r="E1" s="132"/>
      <c r="F1" s="132">
        <v>1200</v>
      </c>
      <c r="G1" s="132" t="s">
        <v>5448</v>
      </c>
      <c r="H1" s="132"/>
      <c r="I1" s="132"/>
      <c r="J1" s="132"/>
      <c r="K1" s="132"/>
      <c r="L1" s="132"/>
      <c r="M1" s="132">
        <v>5000</v>
      </c>
      <c r="N1" s="132"/>
      <c r="O1" s="132"/>
      <c r="P1" s="132"/>
      <c r="Q1" s="36">
        <v>29100</v>
      </c>
      <c r="R1" s="36" t="s">
        <v>5366</v>
      </c>
    </row>
    <row r="2" spans="1:18" s="36" customFormat="1" x14ac:dyDescent="0.25">
      <c r="A2" s="35">
        <v>46221</v>
      </c>
      <c r="B2" s="36" t="s">
        <v>5417</v>
      </c>
      <c r="D2" s="36" t="s">
        <v>5478</v>
      </c>
      <c r="E2" s="36" t="s">
        <v>5432</v>
      </c>
      <c r="F2" s="36">
        <v>7800</v>
      </c>
      <c r="G2" s="36" t="s">
        <v>5461</v>
      </c>
      <c r="H2" s="36" t="s">
        <v>5485</v>
      </c>
      <c r="M2" s="36">
        <v>18300</v>
      </c>
    </row>
    <row r="3" spans="1:18" s="212" customFormat="1" x14ac:dyDescent="0.25">
      <c r="A3" s="218">
        <v>46226</v>
      </c>
      <c r="B3" s="212" t="s">
        <v>5424</v>
      </c>
      <c r="D3" s="212" t="s">
        <v>5425</v>
      </c>
      <c r="E3" s="212" t="s">
        <v>5426</v>
      </c>
      <c r="F3" s="212">
        <v>11000</v>
      </c>
      <c r="G3" s="212" t="s">
        <v>5471</v>
      </c>
      <c r="M3" s="212">
        <v>41000</v>
      </c>
      <c r="O3" s="212" t="s">
        <v>5427</v>
      </c>
      <c r="Q3" s="212">
        <v>15000</v>
      </c>
      <c r="R3" s="212" t="s">
        <v>5370</v>
      </c>
    </row>
    <row r="4" spans="1:18" x14ac:dyDescent="0.25">
      <c r="A4" s="17">
        <v>46227</v>
      </c>
      <c r="B4" s="220" t="s">
        <v>5430</v>
      </c>
      <c r="D4" t="s">
        <v>5428</v>
      </c>
      <c r="E4" t="s">
        <v>5431</v>
      </c>
      <c r="F4">
        <v>3500</v>
      </c>
      <c r="M4">
        <v>33500</v>
      </c>
      <c r="O4" t="s">
        <v>5429</v>
      </c>
    </row>
    <row r="5" spans="1:18" s="212" customFormat="1" x14ac:dyDescent="0.25">
      <c r="A5" s="218">
        <v>46231</v>
      </c>
      <c r="B5" s="212" t="s">
        <v>5433</v>
      </c>
      <c r="D5" s="212" t="s">
        <v>5434</v>
      </c>
      <c r="E5" s="212" t="s">
        <v>5435</v>
      </c>
      <c r="F5" s="212">
        <v>4000</v>
      </c>
      <c r="G5" s="212" t="s">
        <v>5490</v>
      </c>
      <c r="M5" s="212">
        <v>20000</v>
      </c>
      <c r="O5" s="212" t="s">
        <v>5439</v>
      </c>
    </row>
    <row r="6" spans="1:18" x14ac:dyDescent="0.25">
      <c r="A6" s="17">
        <v>46232</v>
      </c>
      <c r="B6" t="s">
        <v>5436</v>
      </c>
      <c r="D6" t="s">
        <v>5437</v>
      </c>
      <c r="E6" t="s">
        <v>5438</v>
      </c>
      <c r="F6">
        <v>6400</v>
      </c>
      <c r="G6" t="s">
        <v>5491</v>
      </c>
      <c r="M6">
        <v>16000</v>
      </c>
      <c r="O6" t="s">
        <v>5440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3C56-4087-460C-AC77-4A9D8A260842}">
  <dimension ref="A1:R6"/>
  <sheetViews>
    <sheetView workbookViewId="0">
      <selection activeCell="O21" sqref="O21"/>
    </sheetView>
  </sheetViews>
  <sheetFormatPr baseColWidth="10" defaultRowHeight="15" x14ac:dyDescent="0.25"/>
  <sheetData>
    <row r="1" spans="1:18" ht="13.5" customHeight="1" x14ac:dyDescent="0.25">
      <c r="A1" s="226" t="s">
        <v>5364</v>
      </c>
      <c r="B1" s="227" t="s">
        <v>0</v>
      </c>
      <c r="C1" s="227"/>
      <c r="D1" s="227" t="s">
        <v>5296</v>
      </c>
      <c r="E1" s="227"/>
      <c r="F1" s="227" t="s">
        <v>4010</v>
      </c>
      <c r="G1" s="227"/>
      <c r="H1" s="227"/>
      <c r="I1" s="227"/>
      <c r="J1" s="214" t="s">
        <v>3905</v>
      </c>
      <c r="K1" s="214" t="s">
        <v>3906</v>
      </c>
      <c r="L1" s="214" t="s">
        <v>3907</v>
      </c>
      <c r="M1" s="214" t="s">
        <v>3908</v>
      </c>
      <c r="N1" s="214" t="s">
        <v>3909</v>
      </c>
      <c r="O1" s="214" t="s">
        <v>4261</v>
      </c>
      <c r="P1" s="214" t="s">
        <v>4600</v>
      </c>
      <c r="Q1" s="214" t="s">
        <v>270</v>
      </c>
      <c r="R1" s="214" t="s">
        <v>4971</v>
      </c>
    </row>
    <row r="2" spans="1:18" s="221" customFormat="1" x14ac:dyDescent="0.25">
      <c r="A2" s="8">
        <v>46235</v>
      </c>
      <c r="B2" s="4" t="s">
        <v>5454</v>
      </c>
      <c r="C2" s="228"/>
      <c r="D2" s="228"/>
      <c r="E2" s="4"/>
      <c r="F2" s="228" t="s">
        <v>5456</v>
      </c>
      <c r="G2" s="228"/>
      <c r="H2" s="228"/>
      <c r="I2" s="228"/>
      <c r="J2" s="4">
        <v>2400</v>
      </c>
      <c r="K2" s="4"/>
      <c r="L2" s="4"/>
      <c r="M2" s="228"/>
      <c r="N2" s="228"/>
      <c r="O2" s="228"/>
      <c r="P2" s="228"/>
      <c r="Q2" s="36">
        <v>2400</v>
      </c>
      <c r="R2" s="36"/>
    </row>
    <row r="3" spans="1:18" s="219" customFormat="1" x14ac:dyDescent="0.25">
      <c r="A3" s="229">
        <v>46235</v>
      </c>
      <c r="B3" s="230" t="s">
        <v>5455</v>
      </c>
      <c r="C3" s="231"/>
      <c r="D3" s="230" t="s">
        <v>5480</v>
      </c>
      <c r="E3" s="230"/>
      <c r="F3" s="230" t="s">
        <v>4141</v>
      </c>
      <c r="G3" s="231"/>
      <c r="H3" s="231"/>
      <c r="I3" s="231"/>
      <c r="J3" s="230">
        <v>9000</v>
      </c>
      <c r="K3" s="230" t="s">
        <v>5479</v>
      </c>
      <c r="L3" s="230"/>
      <c r="M3" s="231"/>
      <c r="N3" s="231"/>
      <c r="O3" s="231"/>
      <c r="P3" s="231"/>
      <c r="Q3" s="212">
        <v>26500</v>
      </c>
      <c r="R3" s="212" t="s">
        <v>5370</v>
      </c>
    </row>
    <row r="4" spans="1:18" s="36" customFormat="1" x14ac:dyDescent="0.25">
      <c r="A4" s="5">
        <v>46251</v>
      </c>
      <c r="B4" s="4" t="s">
        <v>5462</v>
      </c>
      <c r="C4" s="4"/>
      <c r="D4" s="4"/>
      <c r="E4" s="4"/>
      <c r="F4" s="4" t="s">
        <v>5463</v>
      </c>
      <c r="G4" s="4"/>
      <c r="H4" s="4"/>
      <c r="I4" s="4"/>
      <c r="J4" s="4">
        <v>8000</v>
      </c>
      <c r="K4" s="4" t="s">
        <v>5488</v>
      </c>
      <c r="L4" s="4"/>
      <c r="M4" s="4"/>
      <c r="N4" s="4"/>
      <c r="O4" s="4"/>
      <c r="P4" s="4"/>
      <c r="Q4" s="36">
        <v>20000</v>
      </c>
    </row>
    <row r="5" spans="1:18" x14ac:dyDescent="0.25">
      <c r="A5" s="2">
        <v>46263</v>
      </c>
      <c r="B5" s="1" t="s">
        <v>5481</v>
      </c>
      <c r="C5" s="1"/>
      <c r="D5" s="1" t="s">
        <v>5482</v>
      </c>
      <c r="E5" s="1"/>
      <c r="F5" s="1" t="s">
        <v>4506</v>
      </c>
      <c r="G5" s="1"/>
      <c r="H5" s="1"/>
      <c r="I5" s="1"/>
      <c r="J5" s="1">
        <v>2750</v>
      </c>
      <c r="K5" s="1"/>
      <c r="L5" s="1"/>
      <c r="M5" s="1"/>
      <c r="N5" s="1"/>
      <c r="O5" s="1"/>
      <c r="P5" s="1"/>
    </row>
    <row r="6" spans="1:18" x14ac:dyDescent="0.25">
      <c r="A6" s="2">
        <v>46263</v>
      </c>
      <c r="B6" s="1" t="s">
        <v>5483</v>
      </c>
      <c r="C6" s="1"/>
      <c r="D6" s="1"/>
      <c r="E6" s="1"/>
      <c r="F6" s="1" t="s">
        <v>5484</v>
      </c>
      <c r="G6" s="1"/>
      <c r="H6" s="1"/>
      <c r="I6" s="1"/>
      <c r="J6" s="1">
        <v>5000</v>
      </c>
      <c r="K6" s="1"/>
      <c r="L6" s="1"/>
      <c r="M6" s="1"/>
      <c r="N6" s="1"/>
      <c r="O6" s="1"/>
      <c r="P6" s="1"/>
      <c r="Q6">
        <v>30000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636A-5E22-4689-A5D8-97716237B27B}">
  <dimension ref="A1:L2"/>
  <sheetViews>
    <sheetView workbookViewId="0">
      <selection activeCell="L5" sqref="L5"/>
    </sheetView>
  </sheetViews>
  <sheetFormatPr baseColWidth="10" defaultRowHeight="15" x14ac:dyDescent="0.25"/>
  <sheetData>
    <row r="1" spans="1:12" x14ac:dyDescent="0.25">
      <c r="A1" s="141" t="s">
        <v>9</v>
      </c>
      <c r="B1" s="141" t="s">
        <v>0</v>
      </c>
      <c r="C1" s="141" t="s">
        <v>271</v>
      </c>
      <c r="D1" s="141" t="s">
        <v>4010</v>
      </c>
      <c r="E1" s="141" t="s">
        <v>3905</v>
      </c>
      <c r="F1" s="141" t="s">
        <v>3906</v>
      </c>
      <c r="G1" s="141" t="s">
        <v>4258</v>
      </c>
      <c r="H1" s="141" t="s">
        <v>4259</v>
      </c>
      <c r="I1" s="141" t="s">
        <v>4260</v>
      </c>
      <c r="J1" s="141" t="s">
        <v>4261</v>
      </c>
      <c r="K1" s="141" t="s">
        <v>270</v>
      </c>
      <c r="L1" s="141" t="s">
        <v>4971</v>
      </c>
    </row>
    <row r="2" spans="1:12" x14ac:dyDescent="0.25">
      <c r="A2" s="16">
        <v>46267</v>
      </c>
      <c r="B2" t="s">
        <v>671</v>
      </c>
      <c r="D2" t="s">
        <v>5489</v>
      </c>
      <c r="E2">
        <v>3000</v>
      </c>
      <c r="K2">
        <v>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111</vt:i4>
      </vt:variant>
    </vt:vector>
  </HeadingPairs>
  <TitlesOfParts>
    <vt:vector size="111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</vt:lpstr>
      <vt:lpstr>oct</vt:lpstr>
      <vt:lpstr>nov</vt:lpstr>
      <vt:lpstr>dic</vt:lpstr>
      <vt:lpstr>enero 19</vt:lpstr>
      <vt:lpstr>febrero19</vt:lpstr>
      <vt:lpstr>marzo 19</vt:lpstr>
      <vt:lpstr>abril 19</vt:lpstr>
      <vt:lpstr>mayo 19</vt:lpstr>
      <vt:lpstr>julio 19</vt:lpstr>
      <vt:lpstr>junio 19</vt:lpstr>
      <vt:lpstr>agosto 19</vt:lpstr>
      <vt:lpstr>sep 19</vt:lpstr>
      <vt:lpstr>oct 19</vt:lpstr>
      <vt:lpstr>NOV 19</vt:lpstr>
      <vt:lpstr>dic19</vt:lpstr>
      <vt:lpstr>enero 20</vt:lpstr>
      <vt:lpstr>feb 20</vt:lpstr>
      <vt:lpstr>marzo 20</vt:lpstr>
      <vt:lpstr>abril 20</vt:lpstr>
      <vt:lpstr>mayo 20</vt:lpstr>
      <vt:lpstr>junio20</vt:lpstr>
      <vt:lpstr>julio20</vt:lpstr>
      <vt:lpstr>ago 20</vt:lpstr>
      <vt:lpstr>sep20</vt:lpstr>
      <vt:lpstr>oct20</vt:lpstr>
      <vt:lpstr>nov20</vt:lpstr>
      <vt:lpstr>dic 20</vt:lpstr>
      <vt:lpstr>enero 21</vt:lpstr>
      <vt:lpstr>feb 21</vt:lpstr>
      <vt:lpstr>abril21</vt:lpstr>
      <vt:lpstr>Hoja1</vt:lpstr>
      <vt:lpstr>marzo21</vt:lpstr>
      <vt:lpstr>may 21</vt:lpstr>
      <vt:lpstr>junio 21</vt:lpstr>
      <vt:lpstr>Hoja2</vt:lpstr>
      <vt:lpstr>julio 21</vt:lpstr>
      <vt:lpstr>ago 21</vt:lpstr>
      <vt:lpstr>sep21</vt:lpstr>
      <vt:lpstr>oct 21</vt:lpstr>
      <vt:lpstr>nov 2021</vt:lpstr>
      <vt:lpstr>dic 2021</vt:lpstr>
      <vt:lpstr>Hoja4</vt:lpstr>
      <vt:lpstr>enero 22</vt:lpstr>
      <vt:lpstr>Hoja3</vt:lpstr>
      <vt:lpstr>feb 22</vt:lpstr>
      <vt:lpstr>marzo 22</vt:lpstr>
      <vt:lpstr>abril22</vt:lpstr>
      <vt:lpstr>Hoja5</vt:lpstr>
      <vt:lpstr>may 22</vt:lpstr>
      <vt:lpstr>jun 22</vt:lpstr>
      <vt:lpstr>julio 22</vt:lpstr>
      <vt:lpstr>agosto 2022</vt:lpstr>
      <vt:lpstr>sept 2022</vt:lpstr>
      <vt:lpstr>Octubre 2022</vt:lpstr>
      <vt:lpstr>Noviembre 22</vt:lpstr>
      <vt:lpstr>Diciembre 22</vt:lpstr>
      <vt:lpstr>Enero 23</vt:lpstr>
      <vt:lpstr>Febrero23</vt:lpstr>
      <vt:lpstr>Marzo 23</vt:lpstr>
      <vt:lpstr>Abril 23</vt:lpstr>
      <vt:lpstr>Mayo 23</vt:lpstr>
      <vt:lpstr>Junio 23</vt:lpstr>
      <vt:lpstr>Agosto 23</vt:lpstr>
      <vt:lpstr>julio 23</vt:lpstr>
      <vt:lpstr>sept 23</vt:lpstr>
      <vt:lpstr>nov23</vt:lpstr>
      <vt:lpstr>Oct 23</vt:lpstr>
      <vt:lpstr>dic 23</vt:lpstr>
      <vt:lpstr>enero 24</vt:lpstr>
      <vt:lpstr>feb24</vt:lpstr>
      <vt:lpstr>marzo 24</vt:lpstr>
      <vt:lpstr>abril 24</vt:lpstr>
      <vt:lpstr>mayo 24</vt:lpstr>
      <vt:lpstr>jun 24</vt:lpstr>
      <vt:lpstr>julio 24</vt:lpstr>
      <vt:lpstr>ago 24</vt:lpstr>
      <vt:lpstr>sep 24</vt:lpstr>
      <vt:lpstr>oct 24</vt:lpstr>
      <vt:lpstr>dic 24</vt:lpstr>
      <vt:lpstr>enero 25</vt:lpstr>
      <vt:lpstr>marzo 25</vt:lpstr>
      <vt:lpstr>nov 24</vt:lpstr>
      <vt:lpstr>feb 25</vt:lpstr>
      <vt:lpstr>abril 25</vt:lpstr>
      <vt:lpstr>mayo 25</vt:lpstr>
      <vt:lpstr>jun 25</vt:lpstr>
      <vt:lpstr>jul 25</vt:lpstr>
      <vt:lpstr>ago 25</vt:lpstr>
      <vt:lpstr>sep 25</vt:lpstr>
      <vt:lpstr>oct25</vt:lpstr>
      <vt:lpstr>Hoja6</vt:lpstr>
      <vt:lpstr>nov 25</vt:lpstr>
      <vt:lpstr>dic 25</vt:lpstr>
      <vt:lpstr>ene 26</vt:lpstr>
      <vt:lpstr>marzo 26</vt:lpstr>
      <vt:lpstr>feb 26</vt:lpstr>
      <vt:lpstr>6 mayo 26</vt:lpstr>
      <vt:lpstr>abril 26</vt:lpstr>
      <vt:lpstr>junio 26</vt:lpstr>
      <vt:lpstr>jul26</vt:lpstr>
      <vt:lpstr>ago 26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Tatiana Pelikh</cp:lastModifiedBy>
  <dcterms:created xsi:type="dcterms:W3CDTF">2006-09-16T00:00:00Z</dcterms:created>
  <dcterms:modified xsi:type="dcterms:W3CDTF">2026-09-10T00:53:17Z</dcterms:modified>
</cp:coreProperties>
</file>